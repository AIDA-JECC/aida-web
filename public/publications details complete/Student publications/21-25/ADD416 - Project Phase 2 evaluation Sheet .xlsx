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Evaluation Sheet" sheetId="1" r:id="rId5"/>
    <sheet state="visible" name="Evaluation By Guide" sheetId="2" r:id="rId6"/>
    <sheet state="visible" name="Interim Evaluation 1" sheetId="3" r:id="rId7"/>
    <sheet state="visible" name="Interim Evaluation 2" sheetId="4" r:id="rId8"/>
    <sheet state="visible" name="Final evaluation by the Final E" sheetId="5" r:id="rId9"/>
  </sheets>
  <definedNames/>
  <calcPr/>
</workbook>
</file>

<file path=xl/sharedStrings.xml><?xml version="1.0" encoding="utf-8"?>
<sst xmlns="http://schemas.openxmlformats.org/spreadsheetml/2006/main" count="831" uniqueCount="191">
  <si>
    <t>ADD416  Project Phase 2</t>
  </si>
  <si>
    <t xml:space="preserve">Evaluation By Guide </t>
  </si>
  <si>
    <t>Final Evaluation Sheet</t>
  </si>
  <si>
    <t>Group No.</t>
  </si>
  <si>
    <t>Register Number</t>
  </si>
  <si>
    <t>Name of Members</t>
  </si>
  <si>
    <t>Name of the Guide</t>
  </si>
  <si>
    <t>Project Title</t>
  </si>
  <si>
    <r>
      <rPr>
        <rFont val="Times New Roman"/>
        <b/>
        <color theme="1"/>
        <sz val="14.0"/>
      </rPr>
      <t xml:space="preserve">Novelty of idea, and Implementation scope [CO5] [Group ]                   </t>
    </r>
    <r>
      <rPr>
        <rFont val="Times New Roman"/>
        <b/>
        <color rgb="FFFF0000"/>
        <sz val="14.0"/>
      </rPr>
      <t>5 Marks</t>
    </r>
  </si>
  <si>
    <r>
      <rPr>
        <rFont val="Times New Roman"/>
        <b/>
        <color theme="1"/>
        <sz val="14.0"/>
      </rPr>
      <t xml:space="preserve">Literature survey: </t>
    </r>
    <r>
      <rPr>
        <rFont val="Times New Roman"/>
        <b/>
        <color rgb="FFFF0000"/>
        <sz val="14.0"/>
      </rPr>
      <t>4 Marks</t>
    </r>
  </si>
  <si>
    <r>
      <rPr>
        <rFont val="Times New Roman"/>
        <b/>
        <color theme="1"/>
        <sz val="14.0"/>
      </rPr>
      <t xml:space="preserve">Literature survey: </t>
    </r>
    <r>
      <rPr>
        <rFont val="Times New Roman"/>
        <b/>
        <color rgb="FFFF0000"/>
        <sz val="14.0"/>
      </rPr>
      <t>4 Marks</t>
    </r>
  </si>
  <si>
    <r>
      <rPr>
        <rFont val="Times New Roman"/>
        <b/>
        <color theme="1"/>
        <sz val="14.0"/>
      </rPr>
      <t xml:space="preserve">Effectiveness of task distribution among team members. [CO3] [Group ]                   </t>
    </r>
    <r>
      <rPr>
        <rFont val="Times New Roman"/>
        <b/>
        <color rgb="FFFF0000"/>
        <sz val="14.0"/>
      </rPr>
      <t>5 Marks</t>
    </r>
  </si>
  <si>
    <r>
      <rPr>
        <rFont val="Times New Roman"/>
        <b/>
        <color theme="1"/>
        <sz val="14.0"/>
      </rPr>
      <t xml:space="preserve">Student’s Diary/ Daily Log:                  </t>
    </r>
    <r>
      <rPr>
        <rFont val="Times New Roman"/>
        <b/>
        <color rgb="FFFF0000"/>
        <sz val="14.0"/>
      </rPr>
      <t>7 Marks</t>
    </r>
  </si>
  <si>
    <r>
      <rPr>
        <rFont val="Times New Roman"/>
        <b/>
        <color theme="1"/>
        <sz val="14.0"/>
      </rPr>
      <t xml:space="preserve">Student’s Diary/ Daily Log:                  </t>
    </r>
    <r>
      <rPr>
        <rFont val="Times New Roman"/>
        <b/>
        <color rgb="FFFF0000"/>
        <sz val="14.0"/>
      </rPr>
      <t>7 Marks</t>
    </r>
  </si>
  <si>
    <r>
      <rPr>
        <rFont val="Times New Roman"/>
        <b/>
        <color theme="1"/>
        <sz val="12.0"/>
      </rPr>
      <t xml:space="preserve">Project progress evaluation by guide: </t>
    </r>
    <r>
      <rPr>
        <rFont val="Times New Roman"/>
        <b/>
        <color rgb="FFFF0000"/>
        <sz val="12.0"/>
      </rPr>
      <t>30 Marks</t>
    </r>
  </si>
  <si>
    <r>
      <rPr>
        <rFont val="Times New Roman"/>
        <b/>
        <color theme="1"/>
        <sz val="14.0"/>
      </rPr>
      <t xml:space="preserve">Adherence to project schedule. [CO4] [Group ]                 </t>
    </r>
    <r>
      <rPr>
        <rFont val="Times New Roman"/>
        <b/>
        <color rgb="FFFF0000"/>
        <sz val="14.0"/>
      </rPr>
      <t xml:space="preserve">   5 Marks</t>
    </r>
  </si>
  <si>
    <r>
      <rPr>
        <rFont val="Times New Roman"/>
        <b/>
        <color theme="1"/>
        <sz val="14.0"/>
      </rPr>
      <t xml:space="preserve">Individual Contribution:                    </t>
    </r>
    <r>
      <rPr>
        <rFont val="Times New Roman"/>
        <b/>
        <color rgb="FFFF0000"/>
        <sz val="14.0"/>
      </rPr>
      <t>9 Marks</t>
    </r>
  </si>
  <si>
    <r>
      <rPr>
        <rFont val="Times New Roman"/>
        <b/>
        <color theme="1"/>
        <sz val="14.0"/>
      </rPr>
      <t xml:space="preserve">Individual Contribution:                    </t>
    </r>
    <r>
      <rPr>
        <rFont val="Times New Roman"/>
        <b/>
        <color rgb="FFFF0000"/>
        <sz val="14.0"/>
      </rPr>
      <t>9 Marks</t>
    </r>
  </si>
  <si>
    <t>Interim Results. [CO6] [Group]                       5 Marks</t>
  </si>
  <si>
    <t>Presentation [Individual ]                              5 Marks</t>
  </si>
  <si>
    <r>
      <rPr>
        <rFont val="Times New Roman"/>
        <b/>
        <color theme="1"/>
        <sz val="12.0"/>
      </rPr>
      <t xml:space="preserve">Interim Evaluation 1 :      </t>
    </r>
    <r>
      <rPr>
        <rFont val="Times New Roman"/>
        <b/>
        <color rgb="FFFF0000"/>
        <sz val="12.0"/>
      </rPr>
      <t xml:space="preserve">     25 Marks</t>
    </r>
  </si>
  <si>
    <r>
      <rPr>
        <rFont val="Times New Roman"/>
        <b/>
        <color theme="1"/>
        <sz val="14.0"/>
      </rPr>
      <t xml:space="preserve">Completion of the project:                                </t>
    </r>
    <r>
      <rPr>
        <rFont val="Times New Roman"/>
        <b/>
        <color rgb="FFFF0000"/>
        <sz val="14.0"/>
      </rPr>
      <t xml:space="preserve"> 5 Marks</t>
    </r>
  </si>
  <si>
    <r>
      <rPr>
        <rFont val="Times New Roman"/>
        <b/>
        <color theme="1"/>
        <sz val="14.0"/>
      </rPr>
      <t xml:space="preserve">Completion of the project:                                </t>
    </r>
    <r>
      <rPr>
        <rFont val="Times New Roman"/>
        <b/>
        <color rgb="FFFF0000"/>
        <sz val="14.0"/>
      </rPr>
      <t xml:space="preserve"> 5 Marks</t>
    </r>
  </si>
  <si>
    <r>
      <rPr>
        <rFont val="Times New Roman"/>
        <b/>
        <color theme="1"/>
        <sz val="12.0"/>
      </rPr>
      <t xml:space="preserve">Interim Evaluation 2 :            </t>
    </r>
    <r>
      <rPr>
        <rFont val="Times New Roman"/>
        <b/>
        <color rgb="FFFF0000"/>
        <sz val="12.0"/>
      </rPr>
      <t>25 Marks</t>
    </r>
  </si>
  <si>
    <r>
      <rPr>
        <rFont val="Times New Roman"/>
        <b/>
        <color theme="1"/>
        <sz val="14.0"/>
      </rPr>
      <t xml:space="preserve">Total :                        </t>
    </r>
    <r>
      <rPr>
        <rFont val="Times New Roman"/>
        <b/>
        <color rgb="FFFF0000"/>
        <sz val="14.0"/>
      </rPr>
      <t>25 Marks</t>
    </r>
  </si>
  <si>
    <r>
      <rPr>
        <rFont val="Times New Roman"/>
        <b/>
        <color theme="1"/>
        <sz val="14.0"/>
      </rPr>
      <t xml:space="preserve">Total :                        </t>
    </r>
    <r>
      <rPr>
        <rFont val="Times New Roman"/>
        <b/>
        <color rgb="FFFF0000"/>
        <sz val="14.0"/>
      </rPr>
      <t>25 Marks</t>
    </r>
  </si>
  <si>
    <r>
      <rPr>
        <rFont val="Times New Roman"/>
        <b/>
        <color theme="1"/>
        <sz val="14.0"/>
      </rPr>
      <t xml:space="preserve">Total :                        </t>
    </r>
    <r>
      <rPr>
        <rFont val="Times New Roman"/>
        <b/>
        <color rgb="FFFF0000"/>
        <sz val="14.0"/>
      </rPr>
      <t>25 Marks</t>
    </r>
  </si>
  <si>
    <r>
      <rPr>
        <rFont val="Times New Roman"/>
        <b/>
        <color theme="1"/>
        <sz val="12.0"/>
      </rPr>
      <t xml:space="preserve">Final evaluation by the Final Evaluation committee:               </t>
    </r>
    <r>
      <rPr>
        <rFont val="Times New Roman"/>
        <b/>
        <color rgb="FFFF0000"/>
        <sz val="12.0"/>
      </rPr>
      <t xml:space="preserve">  40 Marks</t>
    </r>
  </si>
  <si>
    <r>
      <rPr>
        <rFont val="Times New Roman"/>
        <b/>
        <color theme="1"/>
        <sz val="12.0"/>
      </rPr>
      <t xml:space="preserve">Quality of the report evaluated by the evaluation committee: </t>
    </r>
    <r>
      <rPr>
        <rFont val="Times New Roman"/>
        <b/>
        <color rgb="FFFF0000"/>
        <sz val="12.0"/>
      </rPr>
      <t>30 Marks</t>
    </r>
  </si>
  <si>
    <r>
      <rPr>
        <rFont val="Times New Roman"/>
        <b/>
        <color theme="1"/>
        <sz val="12.0"/>
      </rPr>
      <t xml:space="preserve">Total :                       </t>
    </r>
    <r>
      <rPr>
        <rFont val="Times New Roman"/>
        <b/>
        <color rgb="FFFF0000"/>
        <sz val="12.0"/>
      </rPr>
      <t xml:space="preserve"> 150 Marks</t>
    </r>
  </si>
  <si>
    <t>GROUP 1</t>
  </si>
  <si>
    <t>JEC21AD043</t>
  </si>
  <si>
    <t>SHAH ZAAD HASSAN (TL)</t>
  </si>
  <si>
    <t>Ms. Divya Konikkara</t>
  </si>
  <si>
    <t>Medifusion AI</t>
  </si>
  <si>
    <t>JEC21AD025</t>
  </si>
  <si>
    <t>HAMEEM ABDUL NASSIR</t>
  </si>
  <si>
    <t>JEC21AD005</t>
  </si>
  <si>
    <t>ALAN C VINOY</t>
  </si>
  <si>
    <t>JEC21AD042</t>
  </si>
  <si>
    <t>SAKTHEESWARAN . D</t>
  </si>
  <si>
    <t>GROUP 2</t>
  </si>
  <si>
    <t>JEC21AD050</t>
  </si>
  <si>
    <t>THOMAS RAJU (TL)</t>
  </si>
  <si>
    <t>Dr. Anoop V</t>
  </si>
  <si>
    <t>Smart Glasses</t>
  </si>
  <si>
    <t>JEC21AD026</t>
  </si>
  <si>
    <t>HRIDYA GIRISH</t>
  </si>
  <si>
    <t>JEC21AD027</t>
  </si>
  <si>
    <t>IVINE P SABU</t>
  </si>
  <si>
    <t xml:space="preserve"> </t>
  </si>
  <si>
    <t>JEC21AD015</t>
  </si>
  <si>
    <t>ASHIQUE T P</t>
  </si>
  <si>
    <t>GROUP 3</t>
  </si>
  <si>
    <t>JEC21AD013</t>
  </si>
  <si>
    <t>APARNNA JOSEPH(TL)</t>
  </si>
  <si>
    <t>Ms. Reni Jose</t>
  </si>
  <si>
    <t>Rescue Bot : Thermal Imaging For Victim Detection</t>
  </si>
  <si>
    <t>JEC21AD023</t>
  </si>
  <si>
    <t>GOUTHAM KRISHNA MS</t>
  </si>
  <si>
    <t>JEC21AD014</t>
  </si>
  <si>
    <t>ARJUN C S</t>
  </si>
  <si>
    <t>JEC21AD018</t>
  </si>
  <si>
    <t>BHAGYALAKSHMY SABURAJ</t>
  </si>
  <si>
    <t>GROUP 4</t>
  </si>
  <si>
    <t>JEC21AD049</t>
  </si>
  <si>
    <t>SURYA NARAYANAN(TL)</t>
  </si>
  <si>
    <t>Mr. Jayakrishnan A</t>
  </si>
  <si>
    <t>AI Music Synthesizer</t>
  </si>
  <si>
    <t>JEC21AD035</t>
  </si>
  <si>
    <t>MOHAMMED MUSTHAFA</t>
  </si>
  <si>
    <t>JEC21AD039</t>
  </si>
  <si>
    <t>RASAL HARISH</t>
  </si>
  <si>
    <t>JEC21AD017</t>
  </si>
  <si>
    <t>ATHIRA P.S</t>
  </si>
  <si>
    <t>GROUP 5</t>
  </si>
  <si>
    <t>JEC21AD047</t>
  </si>
  <si>
    <t>SREYAS AS (TL)</t>
  </si>
  <si>
    <t>Mr. Jithin K C</t>
  </si>
  <si>
    <t>Unmask Adversarial Attacks</t>
  </si>
  <si>
    <t>JEC21AD004</t>
  </si>
  <si>
    <t>AISWARYA K G</t>
  </si>
  <si>
    <t>JEC21AD007</t>
  </si>
  <si>
    <t>ALAXO JOY</t>
  </si>
  <si>
    <t>JEC21AD040</t>
  </si>
  <si>
    <t>RESHMA K R</t>
  </si>
  <si>
    <t>GROUP 6</t>
  </si>
  <si>
    <t>JEC21AD033</t>
  </si>
  <si>
    <t>MIRIAM MONCY THOMAS(TL)</t>
  </si>
  <si>
    <t>Autonomous Defence Patrol Robot</t>
  </si>
  <si>
    <t>JEC21AD030</t>
  </si>
  <si>
    <t>JOHN DAVIS</t>
  </si>
  <si>
    <t>LJEC21AD054</t>
  </si>
  <si>
    <t>EBIN BABU</t>
  </si>
  <si>
    <t>LJEC21AD056</t>
  </si>
  <si>
    <t>SANJAY N J</t>
  </si>
  <si>
    <t>GROUP 7</t>
  </si>
  <si>
    <t>JEC21AD006</t>
  </si>
  <si>
    <t>ALAN DAVIS (TL)</t>
  </si>
  <si>
    <t>Ms. Anjali O</t>
  </si>
  <si>
    <t>Virtual Reality in Medical field to examine the anatomy of human body in virtual space</t>
  </si>
  <si>
    <t>JEC21AD051</t>
  </si>
  <si>
    <t>VAISHAK. M. A</t>
  </si>
  <si>
    <t>JEC21AD031</t>
  </si>
  <si>
    <t>JOMON P JOJI</t>
  </si>
  <si>
    <t>JEC21AD012</t>
  </si>
  <si>
    <t>ANNLIYA P SHAJAN</t>
  </si>
  <si>
    <t>GROUP 8</t>
  </si>
  <si>
    <t>JEC21AD010</t>
  </si>
  <si>
    <t>ANANTHU KRISHNAN (TL)</t>
  </si>
  <si>
    <t>Augmented Reality Smart Mirror with Emotion Detecting Virtual Assistant</t>
  </si>
  <si>
    <t>JEC21AD001</t>
  </si>
  <si>
    <t>ABEL JONES</t>
  </si>
  <si>
    <t>JEC21AD019</t>
  </si>
  <si>
    <t>DEEPAK C R</t>
  </si>
  <si>
    <t>JEC21AD011</t>
  </si>
  <si>
    <t>ANASWAR V S</t>
  </si>
  <si>
    <t>GROUP 9</t>
  </si>
  <si>
    <t>JEC21AD028</t>
  </si>
  <si>
    <t>JENY M JERRY (TL)</t>
  </si>
  <si>
    <t>Cancer Detection from DNA using AI</t>
  </si>
  <si>
    <t>JEC21AD029</t>
  </si>
  <si>
    <t>JESLIN LEELA MATHEW</t>
  </si>
  <si>
    <t>JEC21AD021</t>
  </si>
  <si>
    <t>GOPIKA P S</t>
  </si>
  <si>
    <t>JEC21AD016</t>
  </si>
  <si>
    <t>ASHLIN PARAKKAL</t>
  </si>
  <si>
    <t>GROUP 10</t>
  </si>
  <si>
    <t>JEC21AD032</t>
  </si>
  <si>
    <t>JUDIN JOHNSON (TL)</t>
  </si>
  <si>
    <t>Ms. Nikhitha N</t>
  </si>
  <si>
    <t>House PLanAI : A Comprehensive AI -driven House Plan generator</t>
  </si>
  <si>
    <t>JEC21AD022</t>
  </si>
  <si>
    <t>GOURI K P</t>
  </si>
  <si>
    <t>JEC21AD003</t>
  </si>
  <si>
    <t>AISWARYA AK</t>
  </si>
  <si>
    <t>JEC21AD009</t>
  </si>
  <si>
    <t>ANANDHANARAYANAN A N</t>
  </si>
  <si>
    <t>GROUP 11</t>
  </si>
  <si>
    <t>JEC21AD037</t>
  </si>
  <si>
    <t>NAVEEN WILSON(TL)</t>
  </si>
  <si>
    <t>Real time Video to Sign Language Converter</t>
  </si>
  <si>
    <t>JEC21AD048</t>
  </si>
  <si>
    <t>S R SACHIN</t>
  </si>
  <si>
    <t>JEC21AD008</t>
  </si>
  <si>
    <t>ALEN C ALEX</t>
  </si>
  <si>
    <t>JEC21AD044</t>
  </si>
  <si>
    <t>SHANE SUNNY</t>
  </si>
  <si>
    <t>GROUP 12</t>
  </si>
  <si>
    <t>JEC21AD041</t>
  </si>
  <si>
    <t>SACHIN RAJ M(TL)</t>
  </si>
  <si>
    <t>Mr. Bineesh M</t>
  </si>
  <si>
    <t>Sign Language Recognition and Translation</t>
  </si>
  <si>
    <t>JEC21AD002</t>
  </si>
  <si>
    <t>ABHISHEK AJAYKUMAR</t>
  </si>
  <si>
    <t>JEC21AD052</t>
  </si>
  <si>
    <t>VINEETH K</t>
  </si>
  <si>
    <t>JEC21AD020</t>
  </si>
  <si>
    <t>GANGA K MANOHARAN</t>
  </si>
  <si>
    <t>GROUP 13</t>
  </si>
  <si>
    <t>JEC21AD036</t>
  </si>
  <si>
    <t>NANDANA ANAND(TL)</t>
  </si>
  <si>
    <t>Mr. Shine P Xavier</t>
  </si>
  <si>
    <t>Brailie Detection</t>
  </si>
  <si>
    <t>JEC21AD053</t>
  </si>
  <si>
    <t>VISESH A V</t>
  </si>
  <si>
    <t>JEC21AD045</t>
  </si>
  <si>
    <t>SHRITHIKA SHIVADAS</t>
  </si>
  <si>
    <t>LJEC21AD055</t>
  </si>
  <si>
    <t>JEESON DAVIS</t>
  </si>
  <si>
    <t>GROUP 14</t>
  </si>
  <si>
    <t>JEC21AD038</t>
  </si>
  <si>
    <t>SHARLET VARKEY(TL)</t>
  </si>
  <si>
    <t>Parvathy Jyothi</t>
  </si>
  <si>
    <t>EMG Controlled Bionic Arm Using Machine Learning</t>
  </si>
  <si>
    <t>JEC21AD034</t>
  </si>
  <si>
    <t>MISHAL MUHAMMED EP</t>
  </si>
  <si>
    <t>JEC21AD024</t>
  </si>
  <si>
    <t>GOWRI PRIYA</t>
  </si>
  <si>
    <t>Jyothi EngineeringCollege, Thrissur 679531</t>
  </si>
  <si>
    <t>Department of Artificial Intelligence and Datascience</t>
  </si>
  <si>
    <t>Final evaluation by the Final Evaluation committee</t>
  </si>
  <si>
    <r>
      <rPr>
        <rFont val="Times New Roman"/>
        <b/>
        <color theme="1"/>
        <sz val="14.0"/>
      </rPr>
      <t xml:space="preserve">Engineering
knowledge :          </t>
    </r>
    <r>
      <rPr>
        <rFont val="Times New Roman"/>
        <b/>
        <color rgb="FFFF0000"/>
        <sz val="14.0"/>
      </rPr>
      <t xml:space="preserve">  10 Marks</t>
    </r>
  </si>
  <si>
    <r>
      <rPr>
        <rFont val="Times New Roman"/>
        <b/>
        <color theme="1"/>
        <sz val="14.0"/>
      </rPr>
      <t xml:space="preserve">Relevance of the project with respect to societal and/or industrial needs :                       </t>
    </r>
    <r>
      <rPr>
        <rFont val="Times New Roman"/>
        <b/>
        <color rgb="FFFF0000"/>
        <sz val="14.0"/>
      </rPr>
      <t>5 Marks</t>
    </r>
  </si>
  <si>
    <r>
      <rPr>
        <rFont val="Times New Roman"/>
        <b/>
        <color theme="1"/>
        <sz val="14.0"/>
      </rPr>
      <t xml:space="preserve">Innovation / novelty / Creativity :               </t>
    </r>
    <r>
      <rPr>
        <rFont val="Times New Roman"/>
        <b/>
        <color rgb="FFFF0000"/>
        <sz val="14.0"/>
      </rPr>
      <t xml:space="preserve">  5 Marks</t>
    </r>
  </si>
  <si>
    <r>
      <rPr>
        <rFont val="Times New Roman"/>
        <b/>
        <color theme="1"/>
        <sz val="14.0"/>
      </rPr>
      <t xml:space="preserve">Quality of results / conclusions / solutions :                      </t>
    </r>
    <r>
      <rPr>
        <rFont val="Times New Roman"/>
        <b/>
        <color rgb="FFFF0000"/>
        <sz val="14.0"/>
      </rPr>
      <t xml:space="preserve">  10 Marks</t>
    </r>
  </si>
  <si>
    <r>
      <rPr>
        <rFont val="Times New Roman"/>
        <b/>
        <color theme="1"/>
        <sz val="14.0"/>
      </rPr>
      <t xml:space="preserve">Presentation - Part I Preparation of slides :            </t>
    </r>
    <r>
      <rPr>
        <rFont val="Times New Roman"/>
        <b/>
        <color rgb="FFFF0000"/>
        <sz val="14.0"/>
      </rPr>
      <t xml:space="preserve">    5 Marks</t>
    </r>
  </si>
  <si>
    <r>
      <rPr>
        <rFont val="Times New Roman"/>
        <b/>
        <color theme="1"/>
        <sz val="14.0"/>
      </rPr>
      <t xml:space="preserve">Presentation - Part II: Individual  Communication :               </t>
    </r>
    <r>
      <rPr>
        <rFont val="Times New Roman"/>
        <b/>
        <color rgb="FFFF0000"/>
        <sz val="14.0"/>
      </rPr>
      <t>5 Marks</t>
    </r>
  </si>
  <si>
    <r>
      <rPr>
        <rFont val="Times New Roman"/>
        <b/>
        <color theme="1"/>
        <sz val="14.0"/>
      </rPr>
      <t xml:space="preserve">Total :                       </t>
    </r>
    <r>
      <rPr>
        <rFont val="Times New Roman"/>
        <b/>
        <color rgb="FFFF0000"/>
        <sz val="14.0"/>
      </rPr>
      <t>40 Marks</t>
    </r>
  </si>
  <si>
    <t>JEC20AD046</t>
  </si>
  <si>
    <t>SHREYAS P VIJAYAN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</si>
</sst>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rgb="FF000000"/>
      <name val="Times New Roman"/>
    </font>
    <font/>
    <font>
      <b/>
      <sz val="20.0"/>
      <color rgb="FFFF0000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color theme="1"/>
      <name val="Arial"/>
      <scheme val="minor"/>
    </font>
    <font>
      <b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/>
    </xf>
    <xf borderId="5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2.0"/>
    <col customWidth="1" min="3" max="3" width="25.63"/>
    <col customWidth="1" min="4" max="4" width="21.63"/>
    <col customWidth="1" min="5" max="5" width="22.0"/>
    <col customWidth="1" min="6" max="6" width="19.25"/>
    <col customWidth="1" min="7" max="8" width="19.0"/>
    <col customWidth="1" min="9" max="9" width="17.63"/>
    <col customWidth="1" min="10" max="10" width="23.13"/>
    <col customWidth="1" min="11" max="11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14</v>
      </c>
      <c r="G3" s="7" t="s">
        <v>20</v>
      </c>
      <c r="H3" s="7" t="s">
        <v>23</v>
      </c>
      <c r="I3" s="7" t="s">
        <v>27</v>
      </c>
      <c r="J3" s="7" t="s">
        <v>28</v>
      </c>
      <c r="K3" s="6" t="s">
        <v>29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9" t="s">
        <v>30</v>
      </c>
      <c r="B4" s="10" t="s">
        <v>31</v>
      </c>
      <c r="C4" s="10" t="s">
        <v>32</v>
      </c>
      <c r="D4" s="11" t="s">
        <v>33</v>
      </c>
      <c r="E4" s="12" t="s">
        <v>34</v>
      </c>
      <c r="F4" s="13"/>
      <c r="G4" s="13"/>
      <c r="H4" s="13"/>
      <c r="I4" s="13">
        <v>29.0</v>
      </c>
      <c r="J4" s="13"/>
      <c r="K4" s="13">
        <f t="shared" ref="K4:K58" si="1">Sum(F4:J4)</f>
        <v>29</v>
      </c>
      <c r="L4" s="16">
        <f t="shared" ref="L4:L59" si="2">ROUND((I4/40)*150,0)</f>
        <v>109</v>
      </c>
    </row>
    <row r="5">
      <c r="A5" s="14"/>
      <c r="B5" s="10" t="s">
        <v>35</v>
      </c>
      <c r="C5" s="10" t="s">
        <v>36</v>
      </c>
      <c r="D5" s="14"/>
      <c r="E5" s="14"/>
      <c r="F5" s="13"/>
      <c r="G5" s="13"/>
      <c r="H5" s="13"/>
      <c r="I5" s="13">
        <v>29.0</v>
      </c>
      <c r="J5" s="13"/>
      <c r="K5" s="13">
        <f t="shared" si="1"/>
        <v>29</v>
      </c>
      <c r="L5" s="16">
        <f t="shared" si="2"/>
        <v>109</v>
      </c>
    </row>
    <row r="6">
      <c r="A6" s="14"/>
      <c r="B6" s="10" t="s">
        <v>37</v>
      </c>
      <c r="C6" s="10" t="s">
        <v>38</v>
      </c>
      <c r="D6" s="14"/>
      <c r="E6" s="14"/>
      <c r="F6" s="13"/>
      <c r="G6" s="13"/>
      <c r="H6" s="13"/>
      <c r="I6" s="13">
        <v>27.0</v>
      </c>
      <c r="J6" s="13"/>
      <c r="K6" s="13">
        <f t="shared" si="1"/>
        <v>27</v>
      </c>
      <c r="L6" s="16">
        <f t="shared" si="2"/>
        <v>101</v>
      </c>
    </row>
    <row r="7">
      <c r="A7" s="15"/>
      <c r="B7" s="10" t="s">
        <v>39</v>
      </c>
      <c r="C7" s="10" t="s">
        <v>40</v>
      </c>
      <c r="D7" s="15"/>
      <c r="E7" s="15"/>
      <c r="F7" s="13"/>
      <c r="G7" s="13"/>
      <c r="H7" s="13"/>
      <c r="I7" s="13">
        <v>28.0</v>
      </c>
      <c r="J7" s="13"/>
      <c r="K7" s="13">
        <f t="shared" si="1"/>
        <v>28</v>
      </c>
      <c r="L7" s="16">
        <f t="shared" si="2"/>
        <v>105</v>
      </c>
    </row>
    <row r="8">
      <c r="A8" s="9" t="s">
        <v>41</v>
      </c>
      <c r="B8" s="10" t="s">
        <v>42</v>
      </c>
      <c r="C8" s="10" t="s">
        <v>43</v>
      </c>
      <c r="D8" s="11" t="s">
        <v>44</v>
      </c>
      <c r="E8" s="12" t="s">
        <v>45</v>
      </c>
      <c r="F8" s="13"/>
      <c r="G8" s="13"/>
      <c r="H8" s="13"/>
      <c r="I8" s="13">
        <v>34.0</v>
      </c>
      <c r="J8" s="13"/>
      <c r="K8" s="13">
        <f t="shared" si="1"/>
        <v>34</v>
      </c>
      <c r="L8" s="16">
        <f t="shared" si="2"/>
        <v>128</v>
      </c>
    </row>
    <row r="9">
      <c r="A9" s="14"/>
      <c r="B9" s="10" t="s">
        <v>46</v>
      </c>
      <c r="C9" s="10" t="s">
        <v>47</v>
      </c>
      <c r="D9" s="14"/>
      <c r="E9" s="14"/>
      <c r="F9" s="13"/>
      <c r="G9" s="10" t="s">
        <v>50</v>
      </c>
      <c r="H9" s="10"/>
      <c r="I9" s="13">
        <v>34.0</v>
      </c>
      <c r="J9" s="13"/>
      <c r="K9" s="13">
        <f t="shared" si="1"/>
        <v>34</v>
      </c>
      <c r="L9" s="16">
        <f t="shared" si="2"/>
        <v>128</v>
      </c>
    </row>
    <row r="10">
      <c r="A10" s="14"/>
      <c r="B10" s="10" t="s">
        <v>48</v>
      </c>
      <c r="C10" s="10" t="s">
        <v>49</v>
      </c>
      <c r="D10" s="14"/>
      <c r="E10" s="14"/>
      <c r="F10" s="13"/>
      <c r="G10" s="13"/>
      <c r="H10" s="13"/>
      <c r="I10" s="13">
        <v>34.0</v>
      </c>
      <c r="J10" s="13"/>
      <c r="K10" s="13">
        <f t="shared" si="1"/>
        <v>34</v>
      </c>
      <c r="L10" s="16">
        <f t="shared" si="2"/>
        <v>128</v>
      </c>
    </row>
    <row r="11">
      <c r="A11" s="15"/>
      <c r="B11" s="10" t="s">
        <v>51</v>
      </c>
      <c r="C11" s="10" t="s">
        <v>52</v>
      </c>
      <c r="D11" s="15"/>
      <c r="E11" s="15"/>
      <c r="F11" s="13"/>
      <c r="G11" s="13"/>
      <c r="H11" s="13"/>
      <c r="I11" s="13">
        <v>32.0</v>
      </c>
      <c r="J11" s="13"/>
      <c r="K11" s="13">
        <f t="shared" si="1"/>
        <v>32</v>
      </c>
      <c r="L11" s="16">
        <f t="shared" si="2"/>
        <v>120</v>
      </c>
    </row>
    <row r="12">
      <c r="A12" s="9" t="s">
        <v>53</v>
      </c>
      <c r="B12" s="10" t="s">
        <v>54</v>
      </c>
      <c r="C12" s="10" t="s">
        <v>55</v>
      </c>
      <c r="D12" s="11" t="s">
        <v>56</v>
      </c>
      <c r="E12" s="12" t="s">
        <v>57</v>
      </c>
      <c r="F12" s="13"/>
      <c r="G12" s="13"/>
      <c r="H12" s="13"/>
      <c r="I12" s="13">
        <v>31.0</v>
      </c>
      <c r="J12" s="13"/>
      <c r="K12" s="13">
        <f t="shared" si="1"/>
        <v>31</v>
      </c>
      <c r="L12" s="16">
        <f t="shared" si="2"/>
        <v>116</v>
      </c>
    </row>
    <row r="13">
      <c r="A13" s="14"/>
      <c r="B13" s="10" t="s">
        <v>58</v>
      </c>
      <c r="C13" s="10" t="s">
        <v>59</v>
      </c>
      <c r="D13" s="14"/>
      <c r="E13" s="14"/>
      <c r="F13" s="13"/>
      <c r="G13" s="13"/>
      <c r="H13" s="13"/>
      <c r="I13" s="13">
        <v>30.0</v>
      </c>
      <c r="J13" s="13"/>
      <c r="K13" s="13">
        <f t="shared" si="1"/>
        <v>30</v>
      </c>
      <c r="L13" s="16">
        <f t="shared" si="2"/>
        <v>113</v>
      </c>
    </row>
    <row r="14">
      <c r="A14" s="14"/>
      <c r="B14" s="10" t="s">
        <v>60</v>
      </c>
      <c r="C14" s="10" t="s">
        <v>61</v>
      </c>
      <c r="D14" s="14"/>
      <c r="E14" s="14"/>
      <c r="F14" s="13"/>
      <c r="G14" s="13"/>
      <c r="H14" s="13"/>
      <c r="I14" s="13">
        <v>29.0</v>
      </c>
      <c r="J14" s="13"/>
      <c r="K14" s="13">
        <f t="shared" si="1"/>
        <v>29</v>
      </c>
      <c r="L14" s="16">
        <f t="shared" si="2"/>
        <v>109</v>
      </c>
    </row>
    <row r="15">
      <c r="A15" s="15"/>
      <c r="B15" s="10" t="s">
        <v>62</v>
      </c>
      <c r="C15" s="10" t="s">
        <v>63</v>
      </c>
      <c r="D15" s="15"/>
      <c r="E15" s="15"/>
      <c r="F15" s="13"/>
      <c r="G15" s="13"/>
      <c r="H15" s="13"/>
      <c r="I15" s="13">
        <v>31.0</v>
      </c>
      <c r="J15" s="13"/>
      <c r="K15" s="13">
        <f t="shared" si="1"/>
        <v>31</v>
      </c>
      <c r="L15" s="16">
        <f t="shared" si="2"/>
        <v>116</v>
      </c>
    </row>
    <row r="16">
      <c r="A16" s="9" t="s">
        <v>64</v>
      </c>
      <c r="B16" s="10" t="s">
        <v>65</v>
      </c>
      <c r="C16" s="10" t="s">
        <v>66</v>
      </c>
      <c r="D16" s="11" t="s">
        <v>67</v>
      </c>
      <c r="E16" s="12" t="s">
        <v>68</v>
      </c>
      <c r="F16" s="13"/>
      <c r="G16" s="13"/>
      <c r="H16" s="13"/>
      <c r="I16" s="13">
        <v>31.0</v>
      </c>
      <c r="J16" s="13"/>
      <c r="K16" s="13">
        <f t="shared" si="1"/>
        <v>31</v>
      </c>
      <c r="L16" s="16">
        <f t="shared" si="2"/>
        <v>116</v>
      </c>
    </row>
    <row r="17">
      <c r="A17" s="14"/>
      <c r="B17" s="10" t="s">
        <v>69</v>
      </c>
      <c r="C17" s="10" t="s">
        <v>70</v>
      </c>
      <c r="D17" s="14"/>
      <c r="E17" s="14"/>
      <c r="F17" s="13"/>
      <c r="G17" s="13"/>
      <c r="H17" s="13"/>
      <c r="I17" s="13">
        <v>31.0</v>
      </c>
      <c r="J17" s="13"/>
      <c r="K17" s="13">
        <f t="shared" si="1"/>
        <v>31</v>
      </c>
      <c r="L17" s="16">
        <f t="shared" si="2"/>
        <v>116</v>
      </c>
    </row>
    <row r="18">
      <c r="A18" s="14"/>
      <c r="B18" s="10" t="s">
        <v>71</v>
      </c>
      <c r="C18" s="10" t="s">
        <v>72</v>
      </c>
      <c r="D18" s="14"/>
      <c r="E18" s="14"/>
      <c r="F18" s="13"/>
      <c r="G18" s="13"/>
      <c r="H18" s="13"/>
      <c r="I18" s="13">
        <v>31.0</v>
      </c>
      <c r="J18" s="13"/>
      <c r="K18" s="13">
        <f t="shared" si="1"/>
        <v>31</v>
      </c>
      <c r="L18" s="16">
        <f t="shared" si="2"/>
        <v>116</v>
      </c>
    </row>
    <row r="19">
      <c r="A19" s="15"/>
      <c r="B19" s="10" t="s">
        <v>73</v>
      </c>
      <c r="C19" s="10" t="s">
        <v>74</v>
      </c>
      <c r="D19" s="15"/>
      <c r="E19" s="15"/>
      <c r="F19" s="13"/>
      <c r="G19" s="13"/>
      <c r="H19" s="13"/>
      <c r="I19" s="13">
        <v>29.0</v>
      </c>
      <c r="J19" s="13"/>
      <c r="K19" s="13">
        <f t="shared" si="1"/>
        <v>29</v>
      </c>
      <c r="L19" s="16">
        <f t="shared" si="2"/>
        <v>109</v>
      </c>
    </row>
    <row r="20">
      <c r="A20" s="9" t="s">
        <v>75</v>
      </c>
      <c r="B20" s="10" t="s">
        <v>76</v>
      </c>
      <c r="C20" s="10" t="s">
        <v>77</v>
      </c>
      <c r="D20" s="11" t="s">
        <v>78</v>
      </c>
      <c r="E20" s="12" t="s">
        <v>79</v>
      </c>
      <c r="F20" s="10">
        <v>29.0</v>
      </c>
      <c r="G20" s="13"/>
      <c r="H20" s="13"/>
      <c r="I20" s="13">
        <v>27.0</v>
      </c>
      <c r="J20" s="13"/>
      <c r="K20" s="13">
        <f t="shared" si="1"/>
        <v>56</v>
      </c>
      <c r="L20" s="16">
        <f t="shared" si="2"/>
        <v>101</v>
      </c>
    </row>
    <row r="21">
      <c r="A21" s="14"/>
      <c r="B21" s="10" t="s">
        <v>80</v>
      </c>
      <c r="C21" s="10" t="s">
        <v>81</v>
      </c>
      <c r="D21" s="14"/>
      <c r="E21" s="14"/>
      <c r="F21" s="10">
        <v>28.0</v>
      </c>
      <c r="G21" s="13"/>
      <c r="H21" s="13"/>
      <c r="I21" s="13">
        <v>28.0</v>
      </c>
      <c r="J21" s="13"/>
      <c r="K21" s="13">
        <f t="shared" si="1"/>
        <v>56</v>
      </c>
      <c r="L21" s="16">
        <f t="shared" si="2"/>
        <v>105</v>
      </c>
    </row>
    <row r="22">
      <c r="A22" s="14"/>
      <c r="B22" s="10" t="s">
        <v>82</v>
      </c>
      <c r="C22" s="10" t="s">
        <v>83</v>
      </c>
      <c r="D22" s="14"/>
      <c r="E22" s="14"/>
      <c r="F22" s="10">
        <v>27.0</v>
      </c>
      <c r="G22" s="13"/>
      <c r="H22" s="13"/>
      <c r="I22" s="13">
        <v>27.0</v>
      </c>
      <c r="J22" s="13"/>
      <c r="K22" s="13">
        <f t="shared" si="1"/>
        <v>54</v>
      </c>
      <c r="L22" s="16">
        <f t="shared" si="2"/>
        <v>101</v>
      </c>
    </row>
    <row r="23">
      <c r="A23" s="15"/>
      <c r="B23" s="10" t="s">
        <v>84</v>
      </c>
      <c r="C23" s="10" t="s">
        <v>85</v>
      </c>
      <c r="D23" s="15"/>
      <c r="E23" s="15"/>
      <c r="F23" s="10">
        <v>28.0</v>
      </c>
      <c r="G23" s="13"/>
      <c r="H23" s="13"/>
      <c r="I23" s="13">
        <v>27.0</v>
      </c>
      <c r="J23" s="13"/>
      <c r="K23" s="13">
        <f t="shared" si="1"/>
        <v>55</v>
      </c>
      <c r="L23" s="16">
        <f t="shared" si="2"/>
        <v>101</v>
      </c>
    </row>
    <row r="24">
      <c r="A24" s="9" t="s">
        <v>86</v>
      </c>
      <c r="B24" s="10" t="s">
        <v>87</v>
      </c>
      <c r="C24" s="10" t="s">
        <v>88</v>
      </c>
      <c r="D24" s="11" t="s">
        <v>56</v>
      </c>
      <c r="E24" s="12" t="s">
        <v>89</v>
      </c>
      <c r="F24" s="13"/>
      <c r="G24" s="13"/>
      <c r="H24" s="13"/>
      <c r="I24" s="13">
        <v>33.0</v>
      </c>
      <c r="J24" s="13"/>
      <c r="K24" s="13">
        <f t="shared" si="1"/>
        <v>33</v>
      </c>
      <c r="L24" s="16">
        <f t="shared" si="2"/>
        <v>124</v>
      </c>
    </row>
    <row r="25">
      <c r="A25" s="14"/>
      <c r="B25" s="10" t="s">
        <v>90</v>
      </c>
      <c r="C25" s="10" t="s">
        <v>91</v>
      </c>
      <c r="D25" s="14"/>
      <c r="E25" s="14"/>
      <c r="F25" s="13"/>
      <c r="G25" s="13"/>
      <c r="H25" s="13"/>
      <c r="I25" s="13">
        <v>34.0</v>
      </c>
      <c r="J25" s="13"/>
      <c r="K25" s="13">
        <f t="shared" si="1"/>
        <v>34</v>
      </c>
      <c r="L25" s="16">
        <f t="shared" si="2"/>
        <v>128</v>
      </c>
    </row>
    <row r="26">
      <c r="A26" s="14"/>
      <c r="B26" s="10" t="s">
        <v>92</v>
      </c>
      <c r="C26" s="10" t="s">
        <v>93</v>
      </c>
      <c r="D26" s="14"/>
      <c r="E26" s="14"/>
      <c r="F26" s="13"/>
      <c r="G26" s="13"/>
      <c r="H26" s="13"/>
      <c r="I26" s="13">
        <v>33.0</v>
      </c>
      <c r="J26" s="13"/>
      <c r="K26" s="13">
        <f t="shared" si="1"/>
        <v>33</v>
      </c>
      <c r="L26" s="16">
        <f t="shared" si="2"/>
        <v>124</v>
      </c>
    </row>
    <row r="27">
      <c r="A27" s="15"/>
      <c r="B27" s="10" t="s">
        <v>94</v>
      </c>
      <c r="C27" s="10" t="s">
        <v>95</v>
      </c>
      <c r="D27" s="15"/>
      <c r="E27" s="15"/>
      <c r="F27" s="13"/>
      <c r="G27" s="13"/>
      <c r="H27" s="13"/>
      <c r="I27" s="13">
        <v>33.0</v>
      </c>
      <c r="J27" s="13"/>
      <c r="K27" s="13">
        <f t="shared" si="1"/>
        <v>33</v>
      </c>
      <c r="L27" s="16">
        <f t="shared" si="2"/>
        <v>124</v>
      </c>
    </row>
    <row r="28">
      <c r="A28" s="9" t="s">
        <v>96</v>
      </c>
      <c r="B28" s="10" t="s">
        <v>97</v>
      </c>
      <c r="C28" s="10" t="s">
        <v>98</v>
      </c>
      <c r="D28" s="11" t="s">
        <v>99</v>
      </c>
      <c r="E28" s="12" t="s">
        <v>100</v>
      </c>
      <c r="F28" s="13">
        <f t="shared" ref="F28:F31" si="3">(20/25)*30</f>
        <v>24</v>
      </c>
      <c r="G28" s="13"/>
      <c r="H28" s="13"/>
      <c r="I28" s="13">
        <v>29.0</v>
      </c>
      <c r="J28" s="13"/>
      <c r="K28" s="13">
        <f t="shared" si="1"/>
        <v>53</v>
      </c>
      <c r="L28" s="16">
        <f t="shared" si="2"/>
        <v>109</v>
      </c>
    </row>
    <row r="29">
      <c r="A29" s="14"/>
      <c r="B29" s="10" t="s">
        <v>101</v>
      </c>
      <c r="C29" s="10" t="s">
        <v>102</v>
      </c>
      <c r="D29" s="14"/>
      <c r="E29" s="14"/>
      <c r="F29" s="13">
        <f t="shared" si="3"/>
        <v>24</v>
      </c>
      <c r="G29" s="13"/>
      <c r="H29" s="13"/>
      <c r="I29" s="13">
        <v>29.0</v>
      </c>
      <c r="J29" s="13"/>
      <c r="K29" s="13">
        <f t="shared" si="1"/>
        <v>53</v>
      </c>
      <c r="L29" s="16">
        <f t="shared" si="2"/>
        <v>109</v>
      </c>
    </row>
    <row r="30">
      <c r="A30" s="14"/>
      <c r="B30" s="10" t="s">
        <v>103</v>
      </c>
      <c r="C30" s="10" t="s">
        <v>104</v>
      </c>
      <c r="D30" s="14"/>
      <c r="E30" s="14"/>
      <c r="F30" s="13">
        <f t="shared" si="3"/>
        <v>24</v>
      </c>
      <c r="G30" s="13"/>
      <c r="H30" s="13"/>
      <c r="I30" s="13">
        <v>28.0</v>
      </c>
      <c r="J30" s="13"/>
      <c r="K30" s="13">
        <f t="shared" si="1"/>
        <v>52</v>
      </c>
      <c r="L30" s="16">
        <f t="shared" si="2"/>
        <v>105</v>
      </c>
    </row>
    <row r="31">
      <c r="A31" s="15"/>
      <c r="B31" s="10" t="s">
        <v>105</v>
      </c>
      <c r="C31" s="10" t="s">
        <v>106</v>
      </c>
      <c r="D31" s="15"/>
      <c r="E31" s="15"/>
      <c r="F31" s="13">
        <f t="shared" si="3"/>
        <v>24</v>
      </c>
      <c r="G31" s="13"/>
      <c r="H31" s="13"/>
      <c r="I31" s="13">
        <v>28.0</v>
      </c>
      <c r="J31" s="13"/>
      <c r="K31" s="13">
        <f t="shared" si="1"/>
        <v>52</v>
      </c>
      <c r="L31" s="16">
        <f t="shared" si="2"/>
        <v>105</v>
      </c>
    </row>
    <row r="32">
      <c r="A32" s="9" t="s">
        <v>107</v>
      </c>
      <c r="B32" s="10" t="s">
        <v>108</v>
      </c>
      <c r="C32" s="10" t="s">
        <v>109</v>
      </c>
      <c r="D32" s="11" t="s">
        <v>78</v>
      </c>
      <c r="E32" s="12" t="s">
        <v>110</v>
      </c>
      <c r="F32" s="10">
        <v>28.0</v>
      </c>
      <c r="G32" s="13"/>
      <c r="H32" s="13"/>
      <c r="I32" s="13">
        <v>29.0</v>
      </c>
      <c r="J32" s="13"/>
      <c r="K32" s="13">
        <f t="shared" si="1"/>
        <v>57</v>
      </c>
      <c r="L32" s="16">
        <f t="shared" si="2"/>
        <v>109</v>
      </c>
      <c r="M32" s="17">
        <v>127.0</v>
      </c>
    </row>
    <row r="33">
      <c r="A33" s="14"/>
      <c r="B33" s="10" t="s">
        <v>111</v>
      </c>
      <c r="C33" s="10" t="s">
        <v>112</v>
      </c>
      <c r="D33" s="14"/>
      <c r="E33" s="14"/>
      <c r="F33" s="10">
        <v>28.0</v>
      </c>
      <c r="G33" s="13"/>
      <c r="H33" s="13"/>
      <c r="I33" s="13">
        <v>28.0</v>
      </c>
      <c r="J33" s="13"/>
      <c r="K33" s="13">
        <f t="shared" si="1"/>
        <v>56</v>
      </c>
      <c r="L33" s="16">
        <f t="shared" si="2"/>
        <v>105</v>
      </c>
      <c r="M33" s="17">
        <v>125.0</v>
      </c>
    </row>
    <row r="34">
      <c r="A34" s="14"/>
      <c r="B34" s="10" t="s">
        <v>113</v>
      </c>
      <c r="C34" s="10" t="s">
        <v>114</v>
      </c>
      <c r="D34" s="14"/>
      <c r="E34" s="14"/>
      <c r="F34" s="10">
        <v>28.0</v>
      </c>
      <c r="G34" s="13"/>
      <c r="H34" s="13"/>
      <c r="I34" s="13">
        <v>28.0</v>
      </c>
      <c r="J34" s="13"/>
      <c r="K34" s="13">
        <f t="shared" si="1"/>
        <v>56</v>
      </c>
      <c r="L34" s="16">
        <f t="shared" si="2"/>
        <v>105</v>
      </c>
      <c r="M34" s="17">
        <v>125.0</v>
      </c>
    </row>
    <row r="35">
      <c r="A35" s="15"/>
      <c r="B35" s="10" t="s">
        <v>115</v>
      </c>
      <c r="C35" s="10" t="s">
        <v>116</v>
      </c>
      <c r="D35" s="15"/>
      <c r="E35" s="15"/>
      <c r="F35" s="10">
        <v>27.0</v>
      </c>
      <c r="G35" s="13"/>
      <c r="H35" s="13"/>
      <c r="I35" s="13">
        <v>28.0</v>
      </c>
      <c r="J35" s="13"/>
      <c r="K35" s="13">
        <f t="shared" si="1"/>
        <v>55</v>
      </c>
      <c r="L35" s="16">
        <f t="shared" si="2"/>
        <v>105</v>
      </c>
    </row>
    <row r="36">
      <c r="A36" s="9" t="s">
        <v>117</v>
      </c>
      <c r="B36" s="10" t="s">
        <v>118</v>
      </c>
      <c r="C36" s="10" t="s">
        <v>119</v>
      </c>
      <c r="D36" s="11" t="s">
        <v>44</v>
      </c>
      <c r="E36" s="12" t="s">
        <v>120</v>
      </c>
      <c r="F36" s="13"/>
      <c r="G36" s="13"/>
      <c r="H36" s="13"/>
      <c r="I36" s="13">
        <v>28.0</v>
      </c>
      <c r="J36" s="13"/>
      <c r="K36" s="13">
        <f t="shared" si="1"/>
        <v>28</v>
      </c>
      <c r="L36" s="16">
        <f t="shared" si="2"/>
        <v>105</v>
      </c>
    </row>
    <row r="37">
      <c r="A37" s="14"/>
      <c r="B37" s="10" t="s">
        <v>121</v>
      </c>
      <c r="C37" s="10" t="s">
        <v>122</v>
      </c>
      <c r="D37" s="14"/>
      <c r="E37" s="14"/>
      <c r="F37" s="13"/>
      <c r="G37" s="13"/>
      <c r="H37" s="13"/>
      <c r="I37" s="13">
        <v>28.0</v>
      </c>
      <c r="J37" s="13"/>
      <c r="K37" s="13">
        <f t="shared" si="1"/>
        <v>28</v>
      </c>
      <c r="L37" s="16">
        <f t="shared" si="2"/>
        <v>105</v>
      </c>
    </row>
    <row r="38">
      <c r="A38" s="14"/>
      <c r="B38" s="10" t="s">
        <v>123</v>
      </c>
      <c r="C38" s="10" t="s">
        <v>124</v>
      </c>
      <c r="D38" s="14"/>
      <c r="E38" s="14"/>
      <c r="F38" s="13"/>
      <c r="G38" s="13"/>
      <c r="H38" s="13"/>
      <c r="I38" s="13">
        <v>28.0</v>
      </c>
      <c r="J38" s="13"/>
      <c r="K38" s="13">
        <f t="shared" si="1"/>
        <v>28</v>
      </c>
      <c r="L38" s="16">
        <f t="shared" si="2"/>
        <v>105</v>
      </c>
    </row>
    <row r="39">
      <c r="A39" s="15"/>
      <c r="B39" s="10" t="s">
        <v>125</v>
      </c>
      <c r="C39" s="10" t="s">
        <v>126</v>
      </c>
      <c r="D39" s="15"/>
      <c r="E39" s="15"/>
      <c r="F39" s="13"/>
      <c r="G39" s="13"/>
      <c r="H39" s="13"/>
      <c r="I39" s="13">
        <v>26.0</v>
      </c>
      <c r="J39" s="13"/>
      <c r="K39" s="13">
        <f t="shared" si="1"/>
        <v>26</v>
      </c>
      <c r="L39" s="16">
        <f t="shared" si="2"/>
        <v>98</v>
      </c>
    </row>
    <row r="40">
      <c r="A40" s="9" t="s">
        <v>127</v>
      </c>
      <c r="B40" s="10" t="s">
        <v>128</v>
      </c>
      <c r="C40" s="10" t="s">
        <v>129</v>
      </c>
      <c r="D40" s="11" t="s">
        <v>130</v>
      </c>
      <c r="E40" s="12" t="s">
        <v>131</v>
      </c>
      <c r="F40" s="10">
        <v>29.0</v>
      </c>
      <c r="G40" s="13"/>
      <c r="H40" s="13"/>
      <c r="I40" s="13">
        <v>34.0</v>
      </c>
      <c r="J40" s="10">
        <v>30.0</v>
      </c>
      <c r="K40" s="13">
        <f t="shared" si="1"/>
        <v>93</v>
      </c>
      <c r="L40" s="16">
        <f t="shared" si="2"/>
        <v>128</v>
      </c>
    </row>
    <row r="41">
      <c r="A41" s="14"/>
      <c r="B41" s="10" t="s">
        <v>132</v>
      </c>
      <c r="C41" s="10" t="s">
        <v>133</v>
      </c>
      <c r="D41" s="14"/>
      <c r="E41" s="14"/>
      <c r="F41" s="10">
        <v>29.0</v>
      </c>
      <c r="G41" s="13"/>
      <c r="H41" s="13"/>
      <c r="I41" s="13">
        <v>32.0</v>
      </c>
      <c r="J41" s="10">
        <v>30.0</v>
      </c>
      <c r="K41" s="13">
        <f t="shared" si="1"/>
        <v>91</v>
      </c>
      <c r="L41" s="16">
        <f t="shared" si="2"/>
        <v>120</v>
      </c>
    </row>
    <row r="42">
      <c r="A42" s="14"/>
      <c r="B42" s="10" t="s">
        <v>134</v>
      </c>
      <c r="C42" s="10" t="s">
        <v>135</v>
      </c>
      <c r="D42" s="14"/>
      <c r="E42" s="14"/>
      <c r="F42" s="10">
        <v>29.0</v>
      </c>
      <c r="G42" s="13"/>
      <c r="H42" s="13"/>
      <c r="I42" s="13">
        <v>32.0</v>
      </c>
      <c r="J42" s="10">
        <v>30.0</v>
      </c>
      <c r="K42" s="13">
        <f t="shared" si="1"/>
        <v>91</v>
      </c>
      <c r="L42" s="16">
        <f t="shared" si="2"/>
        <v>120</v>
      </c>
    </row>
    <row r="43">
      <c r="A43" s="15"/>
      <c r="B43" s="10" t="s">
        <v>136</v>
      </c>
      <c r="C43" s="10" t="s">
        <v>137</v>
      </c>
      <c r="D43" s="15"/>
      <c r="E43" s="15"/>
      <c r="F43" s="10">
        <v>29.0</v>
      </c>
      <c r="G43" s="13"/>
      <c r="H43" s="13"/>
      <c r="I43" s="13">
        <v>32.0</v>
      </c>
      <c r="J43" s="10">
        <v>30.0</v>
      </c>
      <c r="K43" s="13">
        <f t="shared" si="1"/>
        <v>91</v>
      </c>
      <c r="L43" s="16">
        <f t="shared" si="2"/>
        <v>120</v>
      </c>
    </row>
    <row r="44">
      <c r="A44" s="9" t="s">
        <v>138</v>
      </c>
      <c r="B44" s="10" t="s">
        <v>139</v>
      </c>
      <c r="C44" s="10" t="s">
        <v>140</v>
      </c>
      <c r="D44" s="11" t="s">
        <v>67</v>
      </c>
      <c r="E44" s="12" t="s">
        <v>141</v>
      </c>
      <c r="F44" s="13"/>
      <c r="G44" s="13"/>
      <c r="H44" s="13"/>
      <c r="I44" s="13">
        <v>34.0</v>
      </c>
      <c r="J44" s="13"/>
      <c r="K44" s="13">
        <f t="shared" si="1"/>
        <v>34</v>
      </c>
      <c r="L44" s="16">
        <f t="shared" si="2"/>
        <v>128</v>
      </c>
    </row>
    <row r="45">
      <c r="A45" s="14"/>
      <c r="B45" s="10" t="s">
        <v>142</v>
      </c>
      <c r="C45" s="10" t="s">
        <v>143</v>
      </c>
      <c r="D45" s="14"/>
      <c r="E45" s="14"/>
      <c r="F45" s="13"/>
      <c r="G45" s="13"/>
      <c r="H45" s="13"/>
      <c r="I45" s="13">
        <v>34.0</v>
      </c>
      <c r="J45" s="13"/>
      <c r="K45" s="13">
        <f t="shared" si="1"/>
        <v>34</v>
      </c>
      <c r="L45" s="16">
        <f t="shared" si="2"/>
        <v>128</v>
      </c>
    </row>
    <row r="46">
      <c r="A46" s="14"/>
      <c r="B46" s="10" t="s">
        <v>144</v>
      </c>
      <c r="C46" s="10" t="s">
        <v>145</v>
      </c>
      <c r="D46" s="14"/>
      <c r="E46" s="14"/>
      <c r="F46" s="13"/>
      <c r="G46" s="13"/>
      <c r="H46" s="13"/>
      <c r="I46" s="13">
        <v>34.0</v>
      </c>
      <c r="J46" s="13"/>
      <c r="K46" s="13">
        <f t="shared" si="1"/>
        <v>34</v>
      </c>
      <c r="L46" s="16">
        <f t="shared" si="2"/>
        <v>128</v>
      </c>
    </row>
    <row r="47">
      <c r="A47" s="15"/>
      <c r="B47" s="10" t="s">
        <v>146</v>
      </c>
      <c r="C47" s="10" t="s">
        <v>147</v>
      </c>
      <c r="D47" s="15"/>
      <c r="E47" s="15"/>
      <c r="F47" s="13"/>
      <c r="G47" s="13"/>
      <c r="H47" s="13"/>
      <c r="I47" s="13">
        <v>34.0</v>
      </c>
      <c r="J47" s="13"/>
      <c r="K47" s="13">
        <f t="shared" si="1"/>
        <v>34</v>
      </c>
      <c r="L47" s="16">
        <f t="shared" si="2"/>
        <v>128</v>
      </c>
    </row>
    <row r="48">
      <c r="A48" s="9" t="s">
        <v>148</v>
      </c>
      <c r="B48" s="10" t="s">
        <v>149</v>
      </c>
      <c r="C48" s="10" t="s">
        <v>150</v>
      </c>
      <c r="D48" s="11" t="s">
        <v>151</v>
      </c>
      <c r="E48" s="12" t="s">
        <v>152</v>
      </c>
      <c r="F48" s="13"/>
      <c r="G48" s="13"/>
      <c r="H48" s="13"/>
      <c r="I48" s="13">
        <v>31.0</v>
      </c>
      <c r="J48" s="13"/>
      <c r="K48" s="13">
        <f t="shared" si="1"/>
        <v>31</v>
      </c>
      <c r="L48" s="16">
        <f t="shared" si="2"/>
        <v>116</v>
      </c>
    </row>
    <row r="49">
      <c r="A49" s="14"/>
      <c r="B49" s="10" t="s">
        <v>153</v>
      </c>
      <c r="C49" s="10" t="s">
        <v>154</v>
      </c>
      <c r="D49" s="14"/>
      <c r="E49" s="14"/>
      <c r="F49" s="13"/>
      <c r="G49" s="13"/>
      <c r="H49" s="13"/>
      <c r="I49" s="13">
        <v>31.0</v>
      </c>
      <c r="J49" s="13"/>
      <c r="K49" s="13">
        <f t="shared" si="1"/>
        <v>31</v>
      </c>
      <c r="L49" s="16">
        <f t="shared" si="2"/>
        <v>116</v>
      </c>
    </row>
    <row r="50">
      <c r="A50" s="14"/>
      <c r="B50" s="10" t="s">
        <v>155</v>
      </c>
      <c r="C50" s="10" t="s">
        <v>156</v>
      </c>
      <c r="D50" s="14"/>
      <c r="E50" s="14"/>
      <c r="F50" s="13"/>
      <c r="G50" s="13"/>
      <c r="H50" s="13"/>
      <c r="I50" s="13">
        <v>31.0</v>
      </c>
      <c r="J50" s="13"/>
      <c r="K50" s="13">
        <f t="shared" si="1"/>
        <v>31</v>
      </c>
      <c r="L50" s="16">
        <f t="shared" si="2"/>
        <v>116</v>
      </c>
    </row>
    <row r="51">
      <c r="A51" s="15"/>
      <c r="B51" s="10" t="s">
        <v>157</v>
      </c>
      <c r="C51" s="10" t="s">
        <v>158</v>
      </c>
      <c r="D51" s="15"/>
      <c r="E51" s="15"/>
      <c r="F51" s="13"/>
      <c r="G51" s="13"/>
      <c r="H51" s="13"/>
      <c r="I51" s="13">
        <v>31.0</v>
      </c>
      <c r="J51" s="13"/>
      <c r="K51" s="13">
        <f t="shared" si="1"/>
        <v>31</v>
      </c>
      <c r="L51" s="16">
        <f t="shared" si="2"/>
        <v>116</v>
      </c>
    </row>
    <row r="52">
      <c r="A52" s="9" t="s">
        <v>159</v>
      </c>
      <c r="B52" s="10" t="s">
        <v>160</v>
      </c>
      <c r="C52" s="10" t="s">
        <v>161</v>
      </c>
      <c r="D52" s="11" t="s">
        <v>162</v>
      </c>
      <c r="E52" s="12" t="s">
        <v>163</v>
      </c>
      <c r="F52" s="13"/>
      <c r="G52" s="13"/>
      <c r="H52" s="13"/>
      <c r="I52" s="13">
        <v>28.0</v>
      </c>
      <c r="J52" s="13"/>
      <c r="K52" s="13">
        <f t="shared" si="1"/>
        <v>28</v>
      </c>
      <c r="L52" s="16">
        <f t="shared" si="2"/>
        <v>105</v>
      </c>
    </row>
    <row r="53">
      <c r="A53" s="14"/>
      <c r="B53" s="10" t="s">
        <v>164</v>
      </c>
      <c r="C53" s="10" t="s">
        <v>165</v>
      </c>
      <c r="D53" s="14"/>
      <c r="E53" s="14"/>
      <c r="F53" s="13"/>
      <c r="G53" s="13"/>
      <c r="H53" s="13"/>
      <c r="I53" s="13">
        <v>27.0</v>
      </c>
      <c r="J53" s="13"/>
      <c r="K53" s="13">
        <f t="shared" si="1"/>
        <v>27</v>
      </c>
      <c r="L53" s="16">
        <f t="shared" si="2"/>
        <v>101</v>
      </c>
    </row>
    <row r="54">
      <c r="A54" s="14"/>
      <c r="B54" s="10" t="s">
        <v>166</v>
      </c>
      <c r="C54" s="10" t="s">
        <v>167</v>
      </c>
      <c r="D54" s="14"/>
      <c r="E54" s="14"/>
      <c r="F54" s="13"/>
      <c r="G54" s="13"/>
      <c r="H54" s="13"/>
      <c r="I54" s="13">
        <v>27.0</v>
      </c>
      <c r="J54" s="13"/>
      <c r="K54" s="13">
        <f t="shared" si="1"/>
        <v>27</v>
      </c>
      <c r="L54" s="16">
        <f t="shared" si="2"/>
        <v>101</v>
      </c>
    </row>
    <row r="55">
      <c r="A55" s="15"/>
      <c r="B55" s="10" t="s">
        <v>168</v>
      </c>
      <c r="C55" s="10" t="s">
        <v>169</v>
      </c>
      <c r="D55" s="15"/>
      <c r="E55" s="15"/>
      <c r="F55" s="13"/>
      <c r="G55" s="13"/>
      <c r="H55" s="13"/>
      <c r="I55" s="13">
        <v>27.0</v>
      </c>
      <c r="J55" s="13"/>
      <c r="K55" s="13">
        <f t="shared" si="1"/>
        <v>27</v>
      </c>
      <c r="L55" s="16">
        <f t="shared" si="2"/>
        <v>101</v>
      </c>
    </row>
    <row r="56" ht="14.25" customHeight="1">
      <c r="A56" s="9" t="s">
        <v>170</v>
      </c>
      <c r="B56" s="10" t="s">
        <v>171</v>
      </c>
      <c r="C56" s="10" t="s">
        <v>172</v>
      </c>
      <c r="D56" s="11" t="s">
        <v>173</v>
      </c>
      <c r="E56" s="12" t="s">
        <v>174</v>
      </c>
      <c r="F56" s="10">
        <v>27.0</v>
      </c>
      <c r="G56" s="13"/>
      <c r="H56" s="13"/>
      <c r="I56" s="13">
        <v>35.0</v>
      </c>
      <c r="J56" s="13"/>
      <c r="K56" s="13">
        <f t="shared" si="1"/>
        <v>62</v>
      </c>
      <c r="L56" s="16">
        <f t="shared" si="2"/>
        <v>131</v>
      </c>
    </row>
    <row r="57">
      <c r="A57" s="14"/>
      <c r="B57" s="10" t="s">
        <v>175</v>
      </c>
      <c r="C57" s="10" t="s">
        <v>176</v>
      </c>
      <c r="D57" s="14"/>
      <c r="E57" s="14"/>
      <c r="F57" s="10">
        <v>27.0</v>
      </c>
      <c r="G57" s="13"/>
      <c r="H57" s="13"/>
      <c r="I57" s="13">
        <v>35.0</v>
      </c>
      <c r="J57" s="13"/>
      <c r="K57" s="13">
        <f t="shared" si="1"/>
        <v>62</v>
      </c>
      <c r="L57" s="16">
        <f t="shared" si="2"/>
        <v>131</v>
      </c>
    </row>
    <row r="58">
      <c r="A58" s="15"/>
      <c r="B58" s="10" t="s">
        <v>177</v>
      </c>
      <c r="C58" s="10" t="s">
        <v>178</v>
      </c>
      <c r="D58" s="15"/>
      <c r="E58" s="15"/>
      <c r="F58" s="10">
        <v>27.0</v>
      </c>
      <c r="G58" s="13"/>
      <c r="H58" s="13"/>
      <c r="I58" s="13">
        <v>35.0</v>
      </c>
      <c r="J58" s="13"/>
      <c r="K58" s="13">
        <f t="shared" si="1"/>
        <v>62</v>
      </c>
      <c r="L58" s="16">
        <f t="shared" si="2"/>
        <v>131</v>
      </c>
    </row>
    <row r="59">
      <c r="I59" s="13">
        <v>22.0</v>
      </c>
      <c r="L59" s="16">
        <f t="shared" si="2"/>
        <v>83</v>
      </c>
    </row>
  </sheetData>
  <mergeCells count="44">
    <mergeCell ref="A1:K1"/>
    <mergeCell ref="A2:K2"/>
    <mergeCell ref="A4:A7"/>
    <mergeCell ref="D4:D7"/>
    <mergeCell ref="E4:E7"/>
    <mergeCell ref="D8:D11"/>
    <mergeCell ref="E8:E11"/>
    <mergeCell ref="A8:A11"/>
    <mergeCell ref="A12:A15"/>
    <mergeCell ref="D12:D15"/>
    <mergeCell ref="E12:E15"/>
    <mergeCell ref="A16:A19"/>
    <mergeCell ref="E16:E19"/>
    <mergeCell ref="E20:E23"/>
    <mergeCell ref="D32:D35"/>
    <mergeCell ref="D36:D39"/>
    <mergeCell ref="D40:D43"/>
    <mergeCell ref="D44:D47"/>
    <mergeCell ref="D48:D51"/>
    <mergeCell ref="D52:D55"/>
    <mergeCell ref="D56:D58"/>
    <mergeCell ref="E36:E39"/>
    <mergeCell ref="E40:E43"/>
    <mergeCell ref="E44:E47"/>
    <mergeCell ref="E48:E51"/>
    <mergeCell ref="E52:E55"/>
    <mergeCell ref="E56:E58"/>
    <mergeCell ref="D16:D19"/>
    <mergeCell ref="D20:D23"/>
    <mergeCell ref="D24:D27"/>
    <mergeCell ref="E24:E27"/>
    <mergeCell ref="D28:D31"/>
    <mergeCell ref="E28:E31"/>
    <mergeCell ref="E32:E35"/>
    <mergeCell ref="A48:A51"/>
    <mergeCell ref="A52:A55"/>
    <mergeCell ref="A56:A58"/>
    <mergeCell ref="A20:A23"/>
    <mergeCell ref="A24:A27"/>
    <mergeCell ref="A28:A31"/>
    <mergeCell ref="A32:A35"/>
    <mergeCell ref="A36:A39"/>
    <mergeCell ref="A40:A43"/>
    <mergeCell ref="A44:A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88"/>
    <col customWidth="1" min="2" max="2" width="12.0"/>
    <col customWidth="1" min="3" max="3" width="27.75"/>
    <col customWidth="1" min="4" max="4" width="25.63"/>
    <col customWidth="1" min="5" max="5" width="27.75"/>
    <col customWidth="1" min="6" max="6" width="19.25"/>
    <col customWidth="1" min="7" max="7" width="19.0"/>
    <col customWidth="1" min="8" max="8" width="17.63"/>
    <col customWidth="1" min="9" max="9" width="23.13"/>
    <col customWidth="1" min="10" max="10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9</v>
      </c>
      <c r="G3" s="5" t="s">
        <v>12</v>
      </c>
      <c r="H3" s="5" t="s">
        <v>17</v>
      </c>
      <c r="I3" s="5" t="s">
        <v>22</v>
      </c>
      <c r="J3" s="5" t="s">
        <v>26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9" t="s">
        <v>30</v>
      </c>
      <c r="B4" s="10" t="s">
        <v>31</v>
      </c>
      <c r="C4" s="10" t="s">
        <v>32</v>
      </c>
      <c r="D4" s="11" t="s">
        <v>33</v>
      </c>
      <c r="E4" s="12" t="s">
        <v>34</v>
      </c>
      <c r="F4" s="10">
        <v>4.0</v>
      </c>
      <c r="G4" s="10">
        <v>7.0</v>
      </c>
      <c r="H4" s="10">
        <v>8.0</v>
      </c>
      <c r="I4" s="10">
        <v>5.0</v>
      </c>
      <c r="J4" s="13">
        <f t="shared" ref="J4:J58" si="1">sum(F4:I4)</f>
        <v>24</v>
      </c>
    </row>
    <row r="5">
      <c r="A5" s="14"/>
      <c r="B5" s="10" t="s">
        <v>35</v>
      </c>
      <c r="C5" s="10" t="s">
        <v>36</v>
      </c>
      <c r="D5" s="14"/>
      <c r="E5" s="14"/>
      <c r="F5" s="10">
        <v>4.0</v>
      </c>
      <c r="G5" s="10">
        <v>7.0</v>
      </c>
      <c r="H5" s="10">
        <v>9.0</v>
      </c>
      <c r="I5" s="10">
        <v>5.0</v>
      </c>
      <c r="J5" s="13">
        <f t="shared" si="1"/>
        <v>25</v>
      </c>
    </row>
    <row r="6">
      <c r="A6" s="14"/>
      <c r="B6" s="10" t="s">
        <v>37</v>
      </c>
      <c r="C6" s="10" t="s">
        <v>38</v>
      </c>
      <c r="D6" s="14"/>
      <c r="E6" s="14"/>
      <c r="F6" s="10">
        <v>4.0</v>
      </c>
      <c r="G6" s="10">
        <v>5.0</v>
      </c>
      <c r="H6" s="10">
        <v>6.0</v>
      </c>
      <c r="I6" s="10">
        <v>4.0</v>
      </c>
      <c r="J6" s="13">
        <f t="shared" si="1"/>
        <v>19</v>
      </c>
    </row>
    <row r="7">
      <c r="A7" s="15"/>
      <c r="B7" s="10" t="s">
        <v>39</v>
      </c>
      <c r="C7" s="10" t="s">
        <v>40</v>
      </c>
      <c r="D7" s="15"/>
      <c r="E7" s="15"/>
      <c r="F7" s="10">
        <v>4.0</v>
      </c>
      <c r="G7" s="10">
        <v>5.0</v>
      </c>
      <c r="H7" s="10">
        <v>6.0</v>
      </c>
      <c r="I7" s="10">
        <v>4.0</v>
      </c>
      <c r="J7" s="13">
        <f t="shared" si="1"/>
        <v>19</v>
      </c>
    </row>
    <row r="8">
      <c r="A8" s="9" t="s">
        <v>41</v>
      </c>
      <c r="B8" s="10" t="s">
        <v>42</v>
      </c>
      <c r="C8" s="10" t="s">
        <v>43</v>
      </c>
      <c r="D8" s="11" t="s">
        <v>44</v>
      </c>
      <c r="E8" s="12" t="s">
        <v>45</v>
      </c>
      <c r="F8" s="13"/>
      <c r="G8" s="13"/>
      <c r="H8" s="13"/>
      <c r="I8" s="13"/>
      <c r="J8" s="13">
        <f t="shared" si="1"/>
        <v>0</v>
      </c>
    </row>
    <row r="9">
      <c r="A9" s="14"/>
      <c r="B9" s="10" t="s">
        <v>46</v>
      </c>
      <c r="C9" s="10" t="s">
        <v>47</v>
      </c>
      <c r="D9" s="14"/>
      <c r="E9" s="14"/>
      <c r="F9" s="13"/>
      <c r="G9" s="10" t="s">
        <v>50</v>
      </c>
      <c r="H9" s="13"/>
      <c r="I9" s="13"/>
      <c r="J9" s="13">
        <f t="shared" si="1"/>
        <v>0</v>
      </c>
    </row>
    <row r="10">
      <c r="A10" s="14"/>
      <c r="B10" s="10" t="s">
        <v>48</v>
      </c>
      <c r="C10" s="10" t="s">
        <v>49</v>
      </c>
      <c r="D10" s="14"/>
      <c r="E10" s="14"/>
      <c r="F10" s="13"/>
      <c r="G10" s="13"/>
      <c r="H10" s="13"/>
      <c r="I10" s="13"/>
      <c r="J10" s="13">
        <f t="shared" si="1"/>
        <v>0</v>
      </c>
    </row>
    <row r="11">
      <c r="A11" s="15"/>
      <c r="B11" s="10" t="s">
        <v>51</v>
      </c>
      <c r="C11" s="10" t="s">
        <v>52</v>
      </c>
      <c r="D11" s="15"/>
      <c r="E11" s="15"/>
      <c r="F11" s="13"/>
      <c r="G11" s="13"/>
      <c r="H11" s="13"/>
      <c r="I11" s="13"/>
      <c r="J11" s="13">
        <f t="shared" si="1"/>
        <v>0</v>
      </c>
    </row>
    <row r="12">
      <c r="A12" s="9" t="s">
        <v>53</v>
      </c>
      <c r="B12" s="10" t="s">
        <v>54</v>
      </c>
      <c r="C12" s="10" t="s">
        <v>55</v>
      </c>
      <c r="D12" s="11" t="s">
        <v>56</v>
      </c>
      <c r="E12" s="12" t="s">
        <v>57</v>
      </c>
      <c r="F12" s="13"/>
      <c r="G12" s="13"/>
      <c r="H12" s="13"/>
      <c r="I12" s="13"/>
      <c r="J12" s="13">
        <f t="shared" si="1"/>
        <v>0</v>
      </c>
    </row>
    <row r="13">
      <c r="A13" s="14"/>
      <c r="B13" s="10" t="s">
        <v>58</v>
      </c>
      <c r="C13" s="10" t="s">
        <v>59</v>
      </c>
      <c r="D13" s="14"/>
      <c r="E13" s="14"/>
      <c r="F13" s="13"/>
      <c r="G13" s="13"/>
      <c r="H13" s="13"/>
      <c r="I13" s="13"/>
      <c r="J13" s="13">
        <f t="shared" si="1"/>
        <v>0</v>
      </c>
    </row>
    <row r="14">
      <c r="A14" s="14"/>
      <c r="B14" s="10" t="s">
        <v>60</v>
      </c>
      <c r="C14" s="10" t="s">
        <v>61</v>
      </c>
      <c r="D14" s="14"/>
      <c r="E14" s="14"/>
      <c r="F14" s="13"/>
      <c r="G14" s="13"/>
      <c r="H14" s="13"/>
      <c r="I14" s="13"/>
      <c r="J14" s="13">
        <f t="shared" si="1"/>
        <v>0</v>
      </c>
    </row>
    <row r="15">
      <c r="A15" s="15"/>
      <c r="B15" s="10" t="s">
        <v>62</v>
      </c>
      <c r="C15" s="10" t="s">
        <v>63</v>
      </c>
      <c r="D15" s="15"/>
      <c r="E15" s="15"/>
      <c r="F15" s="13"/>
      <c r="G15" s="13"/>
      <c r="H15" s="13"/>
      <c r="I15" s="13"/>
      <c r="J15" s="13">
        <f t="shared" si="1"/>
        <v>0</v>
      </c>
    </row>
    <row r="16">
      <c r="A16" s="9" t="s">
        <v>64</v>
      </c>
      <c r="B16" s="10" t="s">
        <v>65</v>
      </c>
      <c r="C16" s="10" t="s">
        <v>66</v>
      </c>
      <c r="D16" s="11" t="s">
        <v>67</v>
      </c>
      <c r="E16" s="12" t="s">
        <v>68</v>
      </c>
      <c r="F16" s="10">
        <v>4.0</v>
      </c>
      <c r="G16" s="10">
        <v>5.0</v>
      </c>
      <c r="H16" s="10">
        <v>8.0</v>
      </c>
      <c r="I16" s="10">
        <v>5.0</v>
      </c>
      <c r="J16" s="13">
        <f t="shared" si="1"/>
        <v>22</v>
      </c>
    </row>
    <row r="17">
      <c r="A17" s="14"/>
      <c r="B17" s="10" t="s">
        <v>69</v>
      </c>
      <c r="C17" s="10" t="s">
        <v>70</v>
      </c>
      <c r="D17" s="14"/>
      <c r="E17" s="14"/>
      <c r="F17" s="10">
        <v>4.0</v>
      </c>
      <c r="G17" s="10">
        <v>5.0</v>
      </c>
      <c r="H17" s="10">
        <v>8.0</v>
      </c>
      <c r="I17" s="10">
        <v>5.0</v>
      </c>
      <c r="J17" s="13">
        <f t="shared" si="1"/>
        <v>22</v>
      </c>
    </row>
    <row r="18">
      <c r="A18" s="14"/>
      <c r="B18" s="10" t="s">
        <v>71</v>
      </c>
      <c r="C18" s="10" t="s">
        <v>72</v>
      </c>
      <c r="D18" s="14"/>
      <c r="E18" s="14"/>
      <c r="F18" s="10">
        <v>4.0</v>
      </c>
      <c r="G18" s="10">
        <v>5.0</v>
      </c>
      <c r="H18" s="10">
        <v>7.0</v>
      </c>
      <c r="I18" s="10">
        <v>5.0</v>
      </c>
      <c r="J18" s="13">
        <f t="shared" si="1"/>
        <v>21</v>
      </c>
    </row>
    <row r="19">
      <c r="A19" s="15"/>
      <c r="B19" s="10" t="s">
        <v>73</v>
      </c>
      <c r="C19" s="10" t="s">
        <v>74</v>
      </c>
      <c r="D19" s="15"/>
      <c r="E19" s="15"/>
      <c r="F19" s="10">
        <v>4.0</v>
      </c>
      <c r="G19" s="10">
        <v>5.0</v>
      </c>
      <c r="H19" s="10">
        <v>7.0</v>
      </c>
      <c r="I19" s="10">
        <v>5.0</v>
      </c>
      <c r="J19" s="13">
        <f t="shared" si="1"/>
        <v>21</v>
      </c>
    </row>
    <row r="20">
      <c r="A20" s="9" t="s">
        <v>75</v>
      </c>
      <c r="B20" s="10" t="s">
        <v>76</v>
      </c>
      <c r="C20" s="10" t="s">
        <v>77</v>
      </c>
      <c r="D20" s="11" t="s">
        <v>78</v>
      </c>
      <c r="E20" s="12" t="s">
        <v>79</v>
      </c>
      <c r="F20" s="10">
        <v>4.0</v>
      </c>
      <c r="G20" s="10">
        <v>7.0</v>
      </c>
      <c r="H20" s="10">
        <v>8.0</v>
      </c>
      <c r="I20" s="10">
        <v>5.0</v>
      </c>
      <c r="J20" s="13">
        <f t="shared" si="1"/>
        <v>24</v>
      </c>
    </row>
    <row r="21">
      <c r="A21" s="14"/>
      <c r="B21" s="10" t="s">
        <v>80</v>
      </c>
      <c r="C21" s="10" t="s">
        <v>81</v>
      </c>
      <c r="D21" s="14"/>
      <c r="E21" s="14"/>
      <c r="F21" s="10">
        <v>4.0</v>
      </c>
      <c r="G21" s="10">
        <v>6.0</v>
      </c>
      <c r="H21" s="10">
        <v>8.0</v>
      </c>
      <c r="I21" s="10">
        <v>5.0</v>
      </c>
      <c r="J21" s="13">
        <f t="shared" si="1"/>
        <v>23</v>
      </c>
    </row>
    <row r="22">
      <c r="A22" s="14"/>
      <c r="B22" s="10" t="s">
        <v>82</v>
      </c>
      <c r="C22" s="10" t="s">
        <v>83</v>
      </c>
      <c r="D22" s="14"/>
      <c r="E22" s="14"/>
      <c r="F22" s="10">
        <v>4.0</v>
      </c>
      <c r="G22" s="10">
        <v>6.0</v>
      </c>
      <c r="H22" s="10">
        <v>7.0</v>
      </c>
      <c r="I22" s="10">
        <v>5.0</v>
      </c>
      <c r="J22" s="13">
        <f t="shared" si="1"/>
        <v>22</v>
      </c>
    </row>
    <row r="23">
      <c r="A23" s="15"/>
      <c r="B23" s="10" t="s">
        <v>84</v>
      </c>
      <c r="C23" s="10" t="s">
        <v>85</v>
      </c>
      <c r="D23" s="15"/>
      <c r="E23" s="15"/>
      <c r="F23" s="10">
        <v>4.0</v>
      </c>
      <c r="G23" s="10">
        <v>6.0</v>
      </c>
      <c r="H23" s="10">
        <v>8.0</v>
      </c>
      <c r="I23" s="10">
        <v>5.0</v>
      </c>
      <c r="J23" s="13">
        <f t="shared" si="1"/>
        <v>23</v>
      </c>
    </row>
    <row r="24">
      <c r="A24" s="9" t="s">
        <v>86</v>
      </c>
      <c r="B24" s="10" t="s">
        <v>87</v>
      </c>
      <c r="C24" s="10" t="s">
        <v>88</v>
      </c>
      <c r="D24" s="11" t="s">
        <v>56</v>
      </c>
      <c r="E24" s="12" t="s">
        <v>89</v>
      </c>
      <c r="F24" s="13"/>
      <c r="G24" s="13"/>
      <c r="H24" s="13"/>
      <c r="I24" s="13"/>
      <c r="J24" s="13">
        <f t="shared" si="1"/>
        <v>0</v>
      </c>
    </row>
    <row r="25">
      <c r="A25" s="14"/>
      <c r="B25" s="10" t="s">
        <v>90</v>
      </c>
      <c r="C25" s="10" t="s">
        <v>91</v>
      </c>
      <c r="D25" s="14"/>
      <c r="E25" s="14"/>
      <c r="F25" s="13"/>
      <c r="G25" s="13"/>
      <c r="H25" s="13"/>
      <c r="I25" s="13"/>
      <c r="J25" s="13">
        <f t="shared" si="1"/>
        <v>0</v>
      </c>
    </row>
    <row r="26">
      <c r="A26" s="14"/>
      <c r="B26" s="10" t="s">
        <v>92</v>
      </c>
      <c r="C26" s="10" t="s">
        <v>93</v>
      </c>
      <c r="D26" s="14"/>
      <c r="E26" s="14"/>
      <c r="F26" s="13"/>
      <c r="G26" s="13"/>
      <c r="H26" s="13"/>
      <c r="I26" s="13"/>
      <c r="J26" s="13">
        <f t="shared" si="1"/>
        <v>0</v>
      </c>
    </row>
    <row r="27">
      <c r="A27" s="15"/>
      <c r="B27" s="10" t="s">
        <v>94</v>
      </c>
      <c r="C27" s="10" t="s">
        <v>95</v>
      </c>
      <c r="D27" s="15"/>
      <c r="E27" s="15"/>
      <c r="F27" s="13"/>
      <c r="G27" s="13"/>
      <c r="H27" s="13"/>
      <c r="I27" s="13"/>
      <c r="J27" s="13">
        <f t="shared" si="1"/>
        <v>0</v>
      </c>
    </row>
    <row r="28">
      <c r="A28" s="9" t="s">
        <v>96</v>
      </c>
      <c r="B28" s="10" t="s">
        <v>97</v>
      </c>
      <c r="C28" s="10" t="s">
        <v>98</v>
      </c>
      <c r="D28" s="11" t="s">
        <v>99</v>
      </c>
      <c r="E28" s="12" t="s">
        <v>100</v>
      </c>
      <c r="F28" s="10">
        <v>3.0</v>
      </c>
      <c r="G28" s="10">
        <v>5.0</v>
      </c>
      <c r="H28" s="10">
        <v>8.0</v>
      </c>
      <c r="I28" s="10">
        <v>4.0</v>
      </c>
      <c r="J28" s="13">
        <f t="shared" si="1"/>
        <v>20</v>
      </c>
    </row>
    <row r="29">
      <c r="A29" s="14"/>
      <c r="B29" s="10" t="s">
        <v>101</v>
      </c>
      <c r="C29" s="10" t="s">
        <v>102</v>
      </c>
      <c r="D29" s="14"/>
      <c r="E29" s="14"/>
      <c r="F29" s="10">
        <v>3.0</v>
      </c>
      <c r="G29" s="10">
        <v>5.0</v>
      </c>
      <c r="H29" s="10">
        <v>8.0</v>
      </c>
      <c r="I29" s="10">
        <v>4.0</v>
      </c>
      <c r="J29" s="13">
        <f t="shared" si="1"/>
        <v>20</v>
      </c>
    </row>
    <row r="30">
      <c r="A30" s="14"/>
      <c r="B30" s="10" t="s">
        <v>103</v>
      </c>
      <c r="C30" s="10" t="s">
        <v>104</v>
      </c>
      <c r="D30" s="14"/>
      <c r="E30" s="14"/>
      <c r="F30" s="10">
        <v>3.0</v>
      </c>
      <c r="G30" s="10">
        <v>5.0</v>
      </c>
      <c r="H30" s="10">
        <v>8.0</v>
      </c>
      <c r="I30" s="10">
        <v>4.0</v>
      </c>
      <c r="J30" s="13">
        <f t="shared" si="1"/>
        <v>20</v>
      </c>
    </row>
    <row r="31">
      <c r="A31" s="15"/>
      <c r="B31" s="10" t="s">
        <v>105</v>
      </c>
      <c r="C31" s="10" t="s">
        <v>106</v>
      </c>
      <c r="D31" s="15"/>
      <c r="E31" s="15"/>
      <c r="F31" s="10">
        <v>3.0</v>
      </c>
      <c r="G31" s="10">
        <v>5.0</v>
      </c>
      <c r="H31" s="10">
        <v>8.0</v>
      </c>
      <c r="I31" s="10">
        <v>4.0</v>
      </c>
      <c r="J31" s="13">
        <f t="shared" si="1"/>
        <v>20</v>
      </c>
    </row>
    <row r="32">
      <c r="A32" s="9" t="s">
        <v>107</v>
      </c>
      <c r="B32" s="10" t="s">
        <v>108</v>
      </c>
      <c r="C32" s="10" t="s">
        <v>109</v>
      </c>
      <c r="D32" s="11" t="s">
        <v>78</v>
      </c>
      <c r="E32" s="12" t="s">
        <v>110</v>
      </c>
      <c r="F32" s="10">
        <v>4.0</v>
      </c>
      <c r="G32" s="10">
        <v>6.0</v>
      </c>
      <c r="H32" s="10">
        <v>8.0</v>
      </c>
      <c r="I32" s="10">
        <v>5.0</v>
      </c>
      <c r="J32" s="13">
        <f t="shared" si="1"/>
        <v>23</v>
      </c>
    </row>
    <row r="33">
      <c r="A33" s="14"/>
      <c r="B33" s="10" t="s">
        <v>111</v>
      </c>
      <c r="C33" s="10" t="s">
        <v>112</v>
      </c>
      <c r="D33" s="14"/>
      <c r="E33" s="14"/>
      <c r="F33" s="10">
        <v>4.0</v>
      </c>
      <c r="G33" s="10">
        <v>6.0</v>
      </c>
      <c r="H33" s="10">
        <v>8.0</v>
      </c>
      <c r="I33" s="10">
        <v>5.0</v>
      </c>
      <c r="J33" s="13">
        <f t="shared" si="1"/>
        <v>23</v>
      </c>
    </row>
    <row r="34">
      <c r="A34" s="14"/>
      <c r="B34" s="10" t="s">
        <v>113</v>
      </c>
      <c r="C34" s="10" t="s">
        <v>114</v>
      </c>
      <c r="D34" s="14"/>
      <c r="E34" s="14"/>
      <c r="F34" s="10">
        <v>4.0</v>
      </c>
      <c r="G34" s="10">
        <v>6.0</v>
      </c>
      <c r="H34" s="10">
        <v>8.0</v>
      </c>
      <c r="I34" s="10">
        <v>5.0</v>
      </c>
      <c r="J34" s="13">
        <f t="shared" si="1"/>
        <v>23</v>
      </c>
    </row>
    <row r="35">
      <c r="A35" s="15"/>
      <c r="B35" s="10" t="s">
        <v>115</v>
      </c>
      <c r="C35" s="10" t="s">
        <v>116</v>
      </c>
      <c r="D35" s="15"/>
      <c r="E35" s="15"/>
      <c r="F35" s="10">
        <v>4.0</v>
      </c>
      <c r="G35" s="10">
        <v>6.0</v>
      </c>
      <c r="H35" s="10">
        <v>7.0</v>
      </c>
      <c r="I35" s="10">
        <v>5.0</v>
      </c>
      <c r="J35" s="13">
        <f t="shared" si="1"/>
        <v>22</v>
      </c>
    </row>
    <row r="36">
      <c r="A36" s="9" t="s">
        <v>117</v>
      </c>
      <c r="B36" s="10" t="s">
        <v>118</v>
      </c>
      <c r="C36" s="10" t="s">
        <v>119</v>
      </c>
      <c r="D36" s="11" t="s">
        <v>44</v>
      </c>
      <c r="E36" s="12" t="s">
        <v>120</v>
      </c>
      <c r="F36" s="13"/>
      <c r="G36" s="13"/>
      <c r="H36" s="13"/>
      <c r="I36" s="13"/>
      <c r="J36" s="13">
        <f t="shared" si="1"/>
        <v>0</v>
      </c>
    </row>
    <row r="37">
      <c r="A37" s="14"/>
      <c r="B37" s="10" t="s">
        <v>121</v>
      </c>
      <c r="C37" s="10" t="s">
        <v>122</v>
      </c>
      <c r="D37" s="14"/>
      <c r="E37" s="14"/>
      <c r="F37" s="13"/>
      <c r="G37" s="13"/>
      <c r="H37" s="13"/>
      <c r="I37" s="13"/>
      <c r="J37" s="13">
        <f t="shared" si="1"/>
        <v>0</v>
      </c>
    </row>
    <row r="38">
      <c r="A38" s="14"/>
      <c r="B38" s="10" t="s">
        <v>123</v>
      </c>
      <c r="C38" s="10" t="s">
        <v>124</v>
      </c>
      <c r="D38" s="14"/>
      <c r="E38" s="14"/>
      <c r="F38" s="13"/>
      <c r="G38" s="13"/>
      <c r="H38" s="13"/>
      <c r="I38" s="13"/>
      <c r="J38" s="13">
        <f t="shared" si="1"/>
        <v>0</v>
      </c>
    </row>
    <row r="39">
      <c r="A39" s="15"/>
      <c r="B39" s="10" t="s">
        <v>125</v>
      </c>
      <c r="C39" s="10" t="s">
        <v>126</v>
      </c>
      <c r="D39" s="15"/>
      <c r="E39" s="15"/>
      <c r="F39" s="13"/>
      <c r="G39" s="13"/>
      <c r="H39" s="13"/>
      <c r="I39" s="13"/>
      <c r="J39" s="13">
        <f t="shared" si="1"/>
        <v>0</v>
      </c>
    </row>
    <row r="40">
      <c r="A40" s="9" t="s">
        <v>127</v>
      </c>
      <c r="B40" s="10" t="s">
        <v>128</v>
      </c>
      <c r="C40" s="10" t="s">
        <v>129</v>
      </c>
      <c r="D40" s="11" t="s">
        <v>130</v>
      </c>
      <c r="E40" s="12" t="s">
        <v>131</v>
      </c>
      <c r="F40" s="10">
        <v>4.0</v>
      </c>
      <c r="G40" s="10">
        <v>7.0</v>
      </c>
      <c r="H40" s="10">
        <v>9.0</v>
      </c>
      <c r="I40" s="10">
        <v>5.0</v>
      </c>
      <c r="J40" s="13">
        <f t="shared" si="1"/>
        <v>25</v>
      </c>
    </row>
    <row r="41">
      <c r="A41" s="14"/>
      <c r="B41" s="10" t="s">
        <v>132</v>
      </c>
      <c r="C41" s="10" t="s">
        <v>133</v>
      </c>
      <c r="D41" s="14"/>
      <c r="E41" s="14"/>
      <c r="F41" s="10">
        <v>4.0</v>
      </c>
      <c r="G41" s="10">
        <v>7.0</v>
      </c>
      <c r="H41" s="10">
        <v>8.0</v>
      </c>
      <c r="I41" s="10">
        <v>5.0</v>
      </c>
      <c r="J41" s="13">
        <f t="shared" si="1"/>
        <v>24</v>
      </c>
    </row>
    <row r="42">
      <c r="A42" s="14"/>
      <c r="B42" s="10" t="s">
        <v>134</v>
      </c>
      <c r="C42" s="10" t="s">
        <v>135</v>
      </c>
      <c r="D42" s="14"/>
      <c r="E42" s="14"/>
      <c r="F42" s="10">
        <v>4.0</v>
      </c>
      <c r="G42" s="10">
        <v>7.0</v>
      </c>
      <c r="H42" s="10">
        <v>8.0</v>
      </c>
      <c r="I42" s="10">
        <v>5.0</v>
      </c>
      <c r="J42" s="13">
        <f t="shared" si="1"/>
        <v>24</v>
      </c>
    </row>
    <row r="43">
      <c r="A43" s="15"/>
      <c r="B43" s="10" t="s">
        <v>136</v>
      </c>
      <c r="C43" s="10" t="s">
        <v>137</v>
      </c>
      <c r="D43" s="15"/>
      <c r="E43" s="15"/>
      <c r="F43" s="10">
        <v>4.0</v>
      </c>
      <c r="G43" s="10">
        <v>7.0</v>
      </c>
      <c r="H43" s="10">
        <v>8.0</v>
      </c>
      <c r="I43" s="10">
        <v>5.0</v>
      </c>
      <c r="J43" s="13">
        <f t="shared" si="1"/>
        <v>24</v>
      </c>
    </row>
    <row r="44">
      <c r="A44" s="9" t="s">
        <v>138</v>
      </c>
      <c r="B44" s="10" t="s">
        <v>139</v>
      </c>
      <c r="C44" s="10" t="s">
        <v>140</v>
      </c>
      <c r="D44" s="11" t="s">
        <v>67</v>
      </c>
      <c r="E44" s="12" t="s">
        <v>141</v>
      </c>
      <c r="F44" s="10">
        <v>4.0</v>
      </c>
      <c r="G44" s="10">
        <v>5.0</v>
      </c>
      <c r="H44" s="10">
        <v>9.0</v>
      </c>
      <c r="I44" s="10">
        <v>5.0</v>
      </c>
      <c r="J44" s="13">
        <f t="shared" si="1"/>
        <v>23</v>
      </c>
    </row>
    <row r="45">
      <c r="A45" s="14"/>
      <c r="B45" s="10" t="s">
        <v>142</v>
      </c>
      <c r="C45" s="10" t="s">
        <v>143</v>
      </c>
      <c r="D45" s="14"/>
      <c r="E45" s="14"/>
      <c r="F45" s="10">
        <v>4.0</v>
      </c>
      <c r="G45" s="10">
        <v>5.0</v>
      </c>
      <c r="H45" s="10">
        <v>8.0</v>
      </c>
      <c r="I45" s="10">
        <v>5.0</v>
      </c>
      <c r="J45" s="13">
        <f t="shared" si="1"/>
        <v>22</v>
      </c>
    </row>
    <row r="46">
      <c r="A46" s="14"/>
      <c r="B46" s="10" t="s">
        <v>144</v>
      </c>
      <c r="C46" s="10" t="s">
        <v>145</v>
      </c>
      <c r="D46" s="14"/>
      <c r="E46" s="14"/>
      <c r="F46" s="10">
        <v>4.0</v>
      </c>
      <c r="G46" s="10">
        <v>5.0</v>
      </c>
      <c r="H46" s="10">
        <v>8.0</v>
      </c>
      <c r="I46" s="10">
        <v>5.0</v>
      </c>
      <c r="J46" s="13">
        <f t="shared" si="1"/>
        <v>22</v>
      </c>
    </row>
    <row r="47">
      <c r="A47" s="15"/>
      <c r="B47" s="10" t="s">
        <v>146</v>
      </c>
      <c r="C47" s="10" t="s">
        <v>147</v>
      </c>
      <c r="D47" s="15"/>
      <c r="E47" s="15"/>
      <c r="F47" s="10">
        <v>4.0</v>
      </c>
      <c r="G47" s="10">
        <v>5.0</v>
      </c>
      <c r="H47" s="10">
        <v>8.0</v>
      </c>
      <c r="I47" s="10">
        <v>5.0</v>
      </c>
      <c r="J47" s="13">
        <f t="shared" si="1"/>
        <v>22</v>
      </c>
    </row>
    <row r="48">
      <c r="A48" s="9" t="s">
        <v>148</v>
      </c>
      <c r="B48" s="10" t="s">
        <v>149</v>
      </c>
      <c r="C48" s="10" t="s">
        <v>150</v>
      </c>
      <c r="D48" s="11" t="s">
        <v>151</v>
      </c>
      <c r="E48" s="12" t="s">
        <v>152</v>
      </c>
      <c r="F48" s="13"/>
      <c r="G48" s="13"/>
      <c r="H48" s="13"/>
      <c r="I48" s="13"/>
      <c r="J48" s="13">
        <f t="shared" si="1"/>
        <v>0</v>
      </c>
    </row>
    <row r="49">
      <c r="A49" s="14"/>
      <c r="B49" s="10" t="s">
        <v>153</v>
      </c>
      <c r="C49" s="10" t="s">
        <v>154</v>
      </c>
      <c r="D49" s="14"/>
      <c r="E49" s="14"/>
      <c r="F49" s="13"/>
      <c r="G49" s="13"/>
      <c r="H49" s="13"/>
      <c r="I49" s="13"/>
      <c r="J49" s="13">
        <f t="shared" si="1"/>
        <v>0</v>
      </c>
    </row>
    <row r="50">
      <c r="A50" s="14"/>
      <c r="B50" s="10" t="s">
        <v>155</v>
      </c>
      <c r="C50" s="10" t="s">
        <v>156</v>
      </c>
      <c r="D50" s="14"/>
      <c r="E50" s="14"/>
      <c r="F50" s="13"/>
      <c r="G50" s="13"/>
      <c r="H50" s="13"/>
      <c r="I50" s="13"/>
      <c r="J50" s="13">
        <f t="shared" si="1"/>
        <v>0</v>
      </c>
    </row>
    <row r="51">
      <c r="A51" s="15"/>
      <c r="B51" s="10" t="s">
        <v>157</v>
      </c>
      <c r="C51" s="10" t="s">
        <v>158</v>
      </c>
      <c r="D51" s="15"/>
      <c r="E51" s="15"/>
      <c r="F51" s="13"/>
      <c r="G51" s="13"/>
      <c r="H51" s="13"/>
      <c r="I51" s="13"/>
      <c r="J51" s="13">
        <f t="shared" si="1"/>
        <v>0</v>
      </c>
    </row>
    <row r="52">
      <c r="A52" s="9" t="s">
        <v>159</v>
      </c>
      <c r="B52" s="10" t="s">
        <v>160</v>
      </c>
      <c r="C52" s="10" t="s">
        <v>161</v>
      </c>
      <c r="D52" s="11" t="s">
        <v>162</v>
      </c>
      <c r="E52" s="12" t="s">
        <v>163</v>
      </c>
      <c r="F52" s="10">
        <v>3.0</v>
      </c>
      <c r="G52" s="10">
        <v>6.0</v>
      </c>
      <c r="H52" s="10">
        <v>7.0</v>
      </c>
      <c r="I52" s="10">
        <v>4.0</v>
      </c>
      <c r="J52" s="13">
        <f t="shared" si="1"/>
        <v>20</v>
      </c>
    </row>
    <row r="53">
      <c r="A53" s="14"/>
      <c r="B53" s="10" t="s">
        <v>164</v>
      </c>
      <c r="C53" s="10" t="s">
        <v>165</v>
      </c>
      <c r="D53" s="14"/>
      <c r="E53" s="14"/>
      <c r="F53" s="13"/>
      <c r="G53" s="13"/>
      <c r="H53" s="13"/>
      <c r="I53" s="13"/>
      <c r="J53" s="13">
        <f t="shared" si="1"/>
        <v>0</v>
      </c>
    </row>
    <row r="54">
      <c r="A54" s="14"/>
      <c r="B54" s="10" t="s">
        <v>166</v>
      </c>
      <c r="C54" s="10" t="s">
        <v>167</v>
      </c>
      <c r="D54" s="14"/>
      <c r="E54" s="14"/>
      <c r="F54" s="13"/>
      <c r="G54" s="13"/>
      <c r="H54" s="13"/>
      <c r="I54" s="13"/>
      <c r="J54" s="13">
        <f t="shared" si="1"/>
        <v>0</v>
      </c>
    </row>
    <row r="55">
      <c r="A55" s="15"/>
      <c r="B55" s="10" t="s">
        <v>168</v>
      </c>
      <c r="C55" s="10" t="s">
        <v>169</v>
      </c>
      <c r="D55" s="15"/>
      <c r="E55" s="15"/>
      <c r="F55" s="13"/>
      <c r="G55" s="13"/>
      <c r="H55" s="13"/>
      <c r="I55" s="13"/>
      <c r="J55" s="13">
        <f t="shared" si="1"/>
        <v>0</v>
      </c>
    </row>
    <row r="56">
      <c r="A56" s="9" t="s">
        <v>170</v>
      </c>
      <c r="B56" s="10" t="s">
        <v>171</v>
      </c>
      <c r="C56" s="10" t="s">
        <v>172</v>
      </c>
      <c r="D56" s="11" t="s">
        <v>173</v>
      </c>
      <c r="E56" s="12" t="s">
        <v>174</v>
      </c>
      <c r="F56" s="10">
        <v>4.0</v>
      </c>
      <c r="G56" s="10">
        <v>6.0</v>
      </c>
      <c r="H56" s="10">
        <v>7.0</v>
      </c>
      <c r="I56" s="10">
        <v>4.0</v>
      </c>
      <c r="J56" s="13">
        <f t="shared" si="1"/>
        <v>21</v>
      </c>
    </row>
    <row r="57">
      <c r="A57" s="14"/>
      <c r="B57" s="10" t="s">
        <v>175</v>
      </c>
      <c r="C57" s="10" t="s">
        <v>176</v>
      </c>
      <c r="D57" s="14"/>
      <c r="E57" s="14"/>
      <c r="F57" s="10">
        <v>4.0</v>
      </c>
      <c r="G57" s="10">
        <v>6.0</v>
      </c>
      <c r="H57" s="10">
        <v>8.0</v>
      </c>
      <c r="I57" s="10">
        <v>4.0</v>
      </c>
      <c r="J57" s="13">
        <f t="shared" si="1"/>
        <v>22</v>
      </c>
    </row>
    <row r="58">
      <c r="A58" s="15"/>
      <c r="B58" s="10" t="s">
        <v>177</v>
      </c>
      <c r="C58" s="10" t="s">
        <v>178</v>
      </c>
      <c r="D58" s="15"/>
      <c r="E58" s="15"/>
      <c r="F58" s="10">
        <v>4.0</v>
      </c>
      <c r="G58" s="10">
        <v>5.0</v>
      </c>
      <c r="H58" s="10">
        <v>7.0</v>
      </c>
      <c r="I58" s="10">
        <v>4.0</v>
      </c>
      <c r="J58" s="13">
        <f t="shared" si="1"/>
        <v>20</v>
      </c>
    </row>
  </sheetData>
  <mergeCells count="44">
    <mergeCell ref="A1:J1"/>
    <mergeCell ref="A2:J2"/>
    <mergeCell ref="A4:A7"/>
    <mergeCell ref="D4:D7"/>
    <mergeCell ref="E4:E7"/>
    <mergeCell ref="D8:D11"/>
    <mergeCell ref="E8:E11"/>
    <mergeCell ref="A8:A11"/>
    <mergeCell ref="A12:A15"/>
    <mergeCell ref="D12:D15"/>
    <mergeCell ref="E12:E15"/>
    <mergeCell ref="A16:A19"/>
    <mergeCell ref="E16:E19"/>
    <mergeCell ref="E20:E23"/>
    <mergeCell ref="D32:D35"/>
    <mergeCell ref="D36:D39"/>
    <mergeCell ref="D40:D43"/>
    <mergeCell ref="D44:D47"/>
    <mergeCell ref="D48:D51"/>
    <mergeCell ref="D52:D55"/>
    <mergeCell ref="D56:D58"/>
    <mergeCell ref="E36:E39"/>
    <mergeCell ref="E40:E43"/>
    <mergeCell ref="E44:E47"/>
    <mergeCell ref="E48:E51"/>
    <mergeCell ref="E52:E55"/>
    <mergeCell ref="E56:E58"/>
    <mergeCell ref="D16:D19"/>
    <mergeCell ref="D20:D23"/>
    <mergeCell ref="D24:D27"/>
    <mergeCell ref="E24:E27"/>
    <mergeCell ref="D28:D31"/>
    <mergeCell ref="E28:E31"/>
    <mergeCell ref="E32:E35"/>
    <mergeCell ref="A48:A51"/>
    <mergeCell ref="A52:A55"/>
    <mergeCell ref="A56:A58"/>
    <mergeCell ref="A20:A23"/>
    <mergeCell ref="A24:A27"/>
    <mergeCell ref="A28:A31"/>
    <mergeCell ref="A32:A35"/>
    <mergeCell ref="A36:A39"/>
    <mergeCell ref="A40:A43"/>
    <mergeCell ref="A44:A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88"/>
    <col customWidth="1" min="2" max="2" width="12.0"/>
    <col customWidth="1" min="3" max="3" width="27.75"/>
    <col customWidth="1" min="4" max="4" width="25.63"/>
    <col customWidth="1" min="5" max="5" width="27.75"/>
    <col customWidth="1" min="6" max="6" width="19.25"/>
    <col customWidth="1" min="7" max="7" width="19.0"/>
    <col customWidth="1" min="8" max="8" width="17.63"/>
    <col customWidth="1" min="9" max="9" width="23.13"/>
    <col customWidth="1" min="10" max="10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10</v>
      </c>
      <c r="G3" s="5" t="s">
        <v>13</v>
      </c>
      <c r="H3" s="5" t="s">
        <v>16</v>
      </c>
      <c r="I3" s="5" t="s">
        <v>21</v>
      </c>
      <c r="J3" s="5" t="s">
        <v>25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9" t="s">
        <v>30</v>
      </c>
      <c r="B4" s="10" t="s">
        <v>31</v>
      </c>
      <c r="C4" s="10" t="s">
        <v>32</v>
      </c>
      <c r="D4" s="11" t="s">
        <v>33</v>
      </c>
      <c r="E4" s="12" t="s">
        <v>34</v>
      </c>
      <c r="F4" s="10"/>
      <c r="G4" s="10"/>
      <c r="H4" s="10"/>
      <c r="I4" s="10"/>
      <c r="J4" s="13"/>
    </row>
    <row r="5">
      <c r="A5" s="14"/>
      <c r="B5" s="10" t="s">
        <v>35</v>
      </c>
      <c r="C5" s="10" t="s">
        <v>36</v>
      </c>
      <c r="D5" s="14"/>
      <c r="E5" s="14"/>
      <c r="F5" s="10"/>
      <c r="G5" s="10"/>
      <c r="H5" s="10"/>
      <c r="I5" s="10"/>
      <c r="J5" s="13"/>
    </row>
    <row r="6">
      <c r="A6" s="14"/>
      <c r="B6" s="10" t="s">
        <v>37</v>
      </c>
      <c r="C6" s="10" t="s">
        <v>38</v>
      </c>
      <c r="D6" s="14"/>
      <c r="E6" s="14"/>
      <c r="F6" s="10"/>
      <c r="G6" s="10"/>
      <c r="H6" s="10"/>
      <c r="I6" s="10"/>
      <c r="J6" s="13"/>
    </row>
    <row r="7">
      <c r="A7" s="15"/>
      <c r="B7" s="10" t="s">
        <v>39</v>
      </c>
      <c r="C7" s="10" t="s">
        <v>40</v>
      </c>
      <c r="D7" s="15"/>
      <c r="E7" s="15"/>
      <c r="F7" s="10"/>
      <c r="G7" s="10"/>
      <c r="H7" s="10"/>
      <c r="I7" s="10"/>
      <c r="J7" s="13"/>
    </row>
    <row r="8">
      <c r="A8" s="9" t="s">
        <v>41</v>
      </c>
      <c r="B8" s="10" t="s">
        <v>42</v>
      </c>
      <c r="C8" s="10" t="s">
        <v>43</v>
      </c>
      <c r="D8" s="11" t="s">
        <v>44</v>
      </c>
      <c r="E8" s="12" t="s">
        <v>45</v>
      </c>
      <c r="F8" s="13"/>
      <c r="G8" s="13"/>
      <c r="H8" s="13"/>
      <c r="I8" s="13"/>
      <c r="J8" s="13"/>
    </row>
    <row r="9">
      <c r="A9" s="14"/>
      <c r="B9" s="10" t="s">
        <v>46</v>
      </c>
      <c r="C9" s="10" t="s">
        <v>47</v>
      </c>
      <c r="D9" s="14"/>
      <c r="E9" s="14"/>
      <c r="F9" s="13"/>
      <c r="G9" s="10"/>
      <c r="H9" s="13"/>
      <c r="I9" s="13"/>
      <c r="J9" s="13"/>
    </row>
    <row r="10">
      <c r="A10" s="14"/>
      <c r="B10" s="10" t="s">
        <v>48</v>
      </c>
      <c r="C10" s="10" t="s">
        <v>49</v>
      </c>
      <c r="D10" s="14"/>
      <c r="E10" s="14"/>
      <c r="F10" s="13"/>
      <c r="G10" s="13"/>
      <c r="H10" s="13"/>
      <c r="I10" s="13"/>
      <c r="J10" s="13"/>
    </row>
    <row r="11">
      <c r="A11" s="15"/>
      <c r="B11" s="10" t="s">
        <v>51</v>
      </c>
      <c r="C11" s="10" t="s">
        <v>52</v>
      </c>
      <c r="D11" s="15"/>
      <c r="E11" s="15"/>
      <c r="F11" s="13"/>
      <c r="G11" s="13"/>
      <c r="H11" s="13"/>
      <c r="I11" s="13"/>
      <c r="J11" s="13"/>
    </row>
    <row r="12">
      <c r="A12" s="9" t="s">
        <v>53</v>
      </c>
      <c r="B12" s="10" t="s">
        <v>54</v>
      </c>
      <c r="C12" s="10" t="s">
        <v>55</v>
      </c>
      <c r="D12" s="11" t="s">
        <v>56</v>
      </c>
      <c r="E12" s="12" t="s">
        <v>57</v>
      </c>
      <c r="F12" s="13"/>
      <c r="G12" s="13"/>
      <c r="H12" s="13"/>
      <c r="I12" s="13"/>
      <c r="J12" s="13"/>
    </row>
    <row r="13">
      <c r="A13" s="14"/>
      <c r="B13" s="10" t="s">
        <v>58</v>
      </c>
      <c r="C13" s="10" t="s">
        <v>59</v>
      </c>
      <c r="D13" s="14"/>
      <c r="E13" s="14"/>
      <c r="F13" s="13"/>
      <c r="G13" s="13"/>
      <c r="H13" s="13"/>
      <c r="I13" s="13"/>
      <c r="J13" s="13"/>
    </row>
    <row r="14">
      <c r="A14" s="14"/>
      <c r="B14" s="10" t="s">
        <v>60</v>
      </c>
      <c r="C14" s="10" t="s">
        <v>61</v>
      </c>
      <c r="D14" s="14"/>
      <c r="E14" s="14"/>
      <c r="F14" s="13"/>
      <c r="G14" s="13"/>
      <c r="H14" s="13"/>
      <c r="I14" s="13"/>
      <c r="J14" s="13"/>
    </row>
    <row r="15">
      <c r="A15" s="15"/>
      <c r="B15" s="10" t="s">
        <v>62</v>
      </c>
      <c r="C15" s="10" t="s">
        <v>63</v>
      </c>
      <c r="D15" s="15"/>
      <c r="E15" s="15"/>
      <c r="F15" s="13"/>
      <c r="G15" s="13"/>
      <c r="H15" s="13"/>
      <c r="I15" s="13"/>
      <c r="J15" s="13"/>
    </row>
    <row r="16">
      <c r="A16" s="9" t="s">
        <v>64</v>
      </c>
      <c r="B16" s="10" t="s">
        <v>65</v>
      </c>
      <c r="C16" s="10" t="s">
        <v>66</v>
      </c>
      <c r="D16" s="11" t="s">
        <v>67</v>
      </c>
      <c r="E16" s="12" t="s">
        <v>68</v>
      </c>
      <c r="F16" s="10"/>
      <c r="G16" s="10"/>
      <c r="H16" s="10"/>
      <c r="I16" s="10"/>
      <c r="J16" s="13"/>
    </row>
    <row r="17">
      <c r="A17" s="14"/>
      <c r="B17" s="10" t="s">
        <v>69</v>
      </c>
      <c r="C17" s="10" t="s">
        <v>70</v>
      </c>
      <c r="D17" s="14"/>
      <c r="E17" s="14"/>
      <c r="F17" s="10"/>
      <c r="G17" s="10"/>
      <c r="H17" s="10"/>
      <c r="I17" s="10"/>
      <c r="J17" s="13"/>
    </row>
    <row r="18">
      <c r="A18" s="14"/>
      <c r="B18" s="10" t="s">
        <v>71</v>
      </c>
      <c r="C18" s="10" t="s">
        <v>72</v>
      </c>
      <c r="D18" s="14"/>
      <c r="E18" s="14"/>
      <c r="F18" s="10"/>
      <c r="G18" s="10"/>
      <c r="H18" s="10"/>
      <c r="I18" s="10"/>
      <c r="J18" s="13"/>
    </row>
    <row r="19">
      <c r="A19" s="15"/>
      <c r="B19" s="10" t="s">
        <v>73</v>
      </c>
      <c r="C19" s="10" t="s">
        <v>74</v>
      </c>
      <c r="D19" s="15"/>
      <c r="E19" s="15"/>
      <c r="F19" s="10"/>
      <c r="G19" s="10"/>
      <c r="H19" s="10"/>
      <c r="I19" s="10"/>
      <c r="J19" s="13"/>
    </row>
    <row r="20">
      <c r="A20" s="9" t="s">
        <v>75</v>
      </c>
      <c r="B20" s="10" t="s">
        <v>76</v>
      </c>
      <c r="C20" s="10" t="s">
        <v>77</v>
      </c>
      <c r="D20" s="11" t="s">
        <v>78</v>
      </c>
      <c r="E20" s="12" t="s">
        <v>79</v>
      </c>
      <c r="F20" s="13"/>
      <c r="G20" s="13"/>
      <c r="H20" s="13"/>
      <c r="I20" s="13"/>
      <c r="J20" s="13"/>
    </row>
    <row r="21">
      <c r="A21" s="14"/>
      <c r="B21" s="10" t="s">
        <v>80</v>
      </c>
      <c r="C21" s="10" t="s">
        <v>81</v>
      </c>
      <c r="D21" s="14"/>
      <c r="E21" s="14"/>
      <c r="F21" s="13"/>
      <c r="G21" s="13"/>
      <c r="H21" s="13"/>
      <c r="I21" s="13"/>
      <c r="J21" s="13"/>
    </row>
    <row r="22">
      <c r="A22" s="14"/>
      <c r="B22" s="10" t="s">
        <v>82</v>
      </c>
      <c r="C22" s="10" t="s">
        <v>83</v>
      </c>
      <c r="D22" s="14"/>
      <c r="E22" s="14"/>
      <c r="F22" s="13"/>
      <c r="G22" s="13"/>
      <c r="H22" s="13"/>
      <c r="I22" s="13"/>
      <c r="J22" s="13"/>
    </row>
    <row r="23">
      <c r="A23" s="15"/>
      <c r="B23" s="10" t="s">
        <v>84</v>
      </c>
      <c r="C23" s="10" t="s">
        <v>85</v>
      </c>
      <c r="D23" s="15"/>
      <c r="E23" s="15"/>
      <c r="F23" s="13"/>
      <c r="G23" s="13"/>
      <c r="H23" s="13"/>
      <c r="I23" s="13"/>
      <c r="J23" s="13"/>
    </row>
    <row r="24">
      <c r="A24" s="9" t="s">
        <v>86</v>
      </c>
      <c r="B24" s="10" t="s">
        <v>87</v>
      </c>
      <c r="C24" s="10" t="s">
        <v>88</v>
      </c>
      <c r="D24" s="11" t="s">
        <v>56</v>
      </c>
      <c r="E24" s="12" t="s">
        <v>89</v>
      </c>
      <c r="F24" s="13"/>
      <c r="G24" s="13"/>
      <c r="H24" s="13"/>
      <c r="I24" s="13"/>
      <c r="J24" s="13"/>
    </row>
    <row r="25">
      <c r="A25" s="14"/>
      <c r="B25" s="10" t="s">
        <v>90</v>
      </c>
      <c r="C25" s="10" t="s">
        <v>91</v>
      </c>
      <c r="D25" s="14"/>
      <c r="E25" s="14"/>
      <c r="F25" s="13"/>
      <c r="G25" s="13"/>
      <c r="H25" s="13"/>
      <c r="I25" s="13"/>
      <c r="J25" s="13"/>
    </row>
    <row r="26">
      <c r="A26" s="14"/>
      <c r="B26" s="10" t="s">
        <v>92</v>
      </c>
      <c r="C26" s="10" t="s">
        <v>93</v>
      </c>
      <c r="D26" s="14"/>
      <c r="E26" s="14"/>
      <c r="F26" s="13"/>
      <c r="G26" s="13"/>
      <c r="H26" s="13"/>
      <c r="I26" s="13"/>
      <c r="J26" s="13"/>
    </row>
    <row r="27">
      <c r="A27" s="15"/>
      <c r="B27" s="10" t="s">
        <v>94</v>
      </c>
      <c r="C27" s="10" t="s">
        <v>95</v>
      </c>
      <c r="D27" s="15"/>
      <c r="E27" s="15"/>
      <c r="F27" s="13"/>
      <c r="G27" s="13"/>
      <c r="H27" s="13"/>
      <c r="I27" s="13"/>
      <c r="J27" s="13"/>
    </row>
    <row r="28">
      <c r="A28" s="9" t="s">
        <v>96</v>
      </c>
      <c r="B28" s="10" t="s">
        <v>97</v>
      </c>
      <c r="C28" s="10" t="s">
        <v>98</v>
      </c>
      <c r="D28" s="11" t="s">
        <v>99</v>
      </c>
      <c r="E28" s="12" t="s">
        <v>100</v>
      </c>
      <c r="F28" s="10"/>
      <c r="G28" s="10"/>
      <c r="H28" s="10"/>
      <c r="I28" s="10"/>
      <c r="J28" s="13"/>
    </row>
    <row r="29">
      <c r="A29" s="14"/>
      <c r="B29" s="10" t="s">
        <v>101</v>
      </c>
      <c r="C29" s="10" t="s">
        <v>102</v>
      </c>
      <c r="D29" s="14"/>
      <c r="E29" s="14"/>
      <c r="F29" s="10"/>
      <c r="G29" s="10"/>
      <c r="H29" s="10"/>
      <c r="I29" s="10"/>
      <c r="J29" s="13"/>
    </row>
    <row r="30">
      <c r="A30" s="14"/>
      <c r="B30" s="10" t="s">
        <v>103</v>
      </c>
      <c r="C30" s="10" t="s">
        <v>104</v>
      </c>
      <c r="D30" s="14"/>
      <c r="E30" s="14"/>
      <c r="F30" s="10"/>
      <c r="G30" s="10"/>
      <c r="H30" s="10"/>
      <c r="I30" s="10"/>
      <c r="J30" s="13"/>
    </row>
    <row r="31">
      <c r="A31" s="15"/>
      <c r="B31" s="10" t="s">
        <v>105</v>
      </c>
      <c r="C31" s="10" t="s">
        <v>106</v>
      </c>
      <c r="D31" s="15"/>
      <c r="E31" s="15"/>
      <c r="F31" s="10"/>
      <c r="G31" s="10"/>
      <c r="H31" s="10"/>
      <c r="I31" s="10"/>
      <c r="J31" s="13"/>
    </row>
    <row r="32">
      <c r="A32" s="9" t="s">
        <v>107</v>
      </c>
      <c r="B32" s="10" t="s">
        <v>108</v>
      </c>
      <c r="C32" s="10" t="s">
        <v>109</v>
      </c>
      <c r="D32" s="11" t="s">
        <v>78</v>
      </c>
      <c r="E32" s="12" t="s">
        <v>110</v>
      </c>
      <c r="F32" s="13"/>
      <c r="G32" s="13"/>
      <c r="H32" s="13"/>
      <c r="I32" s="13"/>
      <c r="J32" s="13"/>
    </row>
    <row r="33">
      <c r="A33" s="14"/>
      <c r="B33" s="10" t="s">
        <v>111</v>
      </c>
      <c r="C33" s="10" t="s">
        <v>112</v>
      </c>
      <c r="D33" s="14"/>
      <c r="E33" s="14"/>
      <c r="F33" s="13"/>
      <c r="G33" s="13"/>
      <c r="H33" s="13"/>
      <c r="I33" s="13"/>
      <c r="J33" s="13"/>
    </row>
    <row r="34">
      <c r="A34" s="14"/>
      <c r="B34" s="10" t="s">
        <v>113</v>
      </c>
      <c r="C34" s="10" t="s">
        <v>114</v>
      </c>
      <c r="D34" s="14"/>
      <c r="E34" s="14"/>
      <c r="F34" s="13"/>
      <c r="G34" s="13"/>
      <c r="H34" s="13"/>
      <c r="I34" s="13"/>
      <c r="J34" s="13"/>
    </row>
    <row r="35">
      <c r="A35" s="15"/>
      <c r="B35" s="10" t="s">
        <v>115</v>
      </c>
      <c r="C35" s="10" t="s">
        <v>116</v>
      </c>
      <c r="D35" s="15"/>
      <c r="E35" s="15"/>
      <c r="F35" s="13"/>
      <c r="G35" s="13"/>
      <c r="H35" s="13"/>
      <c r="I35" s="13"/>
      <c r="J35" s="13"/>
    </row>
    <row r="36">
      <c r="A36" s="9" t="s">
        <v>117</v>
      </c>
      <c r="B36" s="10" t="s">
        <v>118</v>
      </c>
      <c r="C36" s="10" t="s">
        <v>119</v>
      </c>
      <c r="D36" s="11" t="s">
        <v>44</v>
      </c>
      <c r="E36" s="12" t="s">
        <v>120</v>
      </c>
      <c r="F36" s="13"/>
      <c r="G36" s="13"/>
      <c r="H36" s="13"/>
      <c r="I36" s="13"/>
      <c r="J36" s="13"/>
    </row>
    <row r="37">
      <c r="A37" s="14"/>
      <c r="B37" s="10" t="s">
        <v>121</v>
      </c>
      <c r="C37" s="10" t="s">
        <v>122</v>
      </c>
      <c r="D37" s="14"/>
      <c r="E37" s="14"/>
      <c r="F37" s="13"/>
      <c r="G37" s="13"/>
      <c r="H37" s="13"/>
      <c r="I37" s="13"/>
      <c r="J37" s="13"/>
    </row>
    <row r="38">
      <c r="A38" s="14"/>
      <c r="B38" s="10" t="s">
        <v>123</v>
      </c>
      <c r="C38" s="10" t="s">
        <v>124</v>
      </c>
      <c r="D38" s="14"/>
      <c r="E38" s="14"/>
      <c r="F38" s="13"/>
      <c r="G38" s="13"/>
      <c r="H38" s="13"/>
      <c r="I38" s="13"/>
      <c r="J38" s="13"/>
    </row>
    <row r="39">
      <c r="A39" s="15"/>
      <c r="B39" s="10" t="s">
        <v>125</v>
      </c>
      <c r="C39" s="10" t="s">
        <v>126</v>
      </c>
      <c r="D39" s="15"/>
      <c r="E39" s="15"/>
      <c r="F39" s="13"/>
      <c r="G39" s="13"/>
      <c r="H39" s="13"/>
      <c r="I39" s="13"/>
      <c r="J39" s="13"/>
    </row>
    <row r="40">
      <c r="A40" s="9" t="s">
        <v>127</v>
      </c>
      <c r="B40" s="10" t="s">
        <v>128</v>
      </c>
      <c r="C40" s="10" t="s">
        <v>129</v>
      </c>
      <c r="D40" s="11" t="s">
        <v>130</v>
      </c>
      <c r="E40" s="12" t="s">
        <v>131</v>
      </c>
      <c r="F40" s="10"/>
      <c r="G40" s="10"/>
      <c r="H40" s="10"/>
      <c r="I40" s="10"/>
      <c r="J40" s="13"/>
    </row>
    <row r="41">
      <c r="A41" s="14"/>
      <c r="B41" s="10" t="s">
        <v>132</v>
      </c>
      <c r="C41" s="10" t="s">
        <v>133</v>
      </c>
      <c r="D41" s="14"/>
      <c r="E41" s="14"/>
      <c r="F41" s="10"/>
      <c r="G41" s="10"/>
      <c r="H41" s="10"/>
      <c r="I41" s="10"/>
      <c r="J41" s="13"/>
    </row>
    <row r="42">
      <c r="A42" s="14"/>
      <c r="B42" s="10" t="s">
        <v>134</v>
      </c>
      <c r="C42" s="10" t="s">
        <v>135</v>
      </c>
      <c r="D42" s="14"/>
      <c r="E42" s="14"/>
      <c r="F42" s="10"/>
      <c r="G42" s="10"/>
      <c r="H42" s="10"/>
      <c r="I42" s="10"/>
      <c r="J42" s="13"/>
    </row>
    <row r="43">
      <c r="A43" s="15"/>
      <c r="B43" s="10" t="s">
        <v>136</v>
      </c>
      <c r="C43" s="10" t="s">
        <v>137</v>
      </c>
      <c r="D43" s="15"/>
      <c r="E43" s="15"/>
      <c r="F43" s="10"/>
      <c r="G43" s="10"/>
      <c r="H43" s="10"/>
      <c r="I43" s="10"/>
      <c r="J43" s="13"/>
    </row>
    <row r="44">
      <c r="A44" s="9" t="s">
        <v>138</v>
      </c>
      <c r="B44" s="10" t="s">
        <v>139</v>
      </c>
      <c r="C44" s="10" t="s">
        <v>140</v>
      </c>
      <c r="D44" s="11" t="s">
        <v>67</v>
      </c>
      <c r="E44" s="12" t="s">
        <v>141</v>
      </c>
      <c r="F44" s="10"/>
      <c r="G44" s="10"/>
      <c r="H44" s="10"/>
      <c r="I44" s="10"/>
      <c r="J44" s="13"/>
    </row>
    <row r="45">
      <c r="A45" s="14"/>
      <c r="B45" s="10" t="s">
        <v>142</v>
      </c>
      <c r="C45" s="10" t="s">
        <v>143</v>
      </c>
      <c r="D45" s="14"/>
      <c r="E45" s="14"/>
      <c r="F45" s="10"/>
      <c r="G45" s="10"/>
      <c r="H45" s="10"/>
      <c r="I45" s="10"/>
      <c r="J45" s="13"/>
    </row>
    <row r="46">
      <c r="A46" s="14"/>
      <c r="B46" s="10" t="s">
        <v>144</v>
      </c>
      <c r="C46" s="10" t="s">
        <v>145</v>
      </c>
      <c r="D46" s="14"/>
      <c r="E46" s="14"/>
      <c r="F46" s="10"/>
      <c r="G46" s="10"/>
      <c r="H46" s="10"/>
      <c r="I46" s="10"/>
      <c r="J46" s="13"/>
    </row>
    <row r="47">
      <c r="A47" s="15"/>
      <c r="B47" s="10" t="s">
        <v>146</v>
      </c>
      <c r="C47" s="10" t="s">
        <v>147</v>
      </c>
      <c r="D47" s="15"/>
      <c r="E47" s="15"/>
      <c r="F47" s="10"/>
      <c r="G47" s="10"/>
      <c r="H47" s="10"/>
      <c r="I47" s="10"/>
      <c r="J47" s="13"/>
    </row>
    <row r="48">
      <c r="A48" s="9" t="s">
        <v>148</v>
      </c>
      <c r="B48" s="10" t="s">
        <v>149</v>
      </c>
      <c r="C48" s="10" t="s">
        <v>150</v>
      </c>
      <c r="D48" s="11" t="s">
        <v>151</v>
      </c>
      <c r="E48" s="12" t="s">
        <v>152</v>
      </c>
      <c r="F48" s="13"/>
      <c r="G48" s="13"/>
      <c r="H48" s="13"/>
      <c r="I48" s="13"/>
      <c r="J48" s="13"/>
    </row>
    <row r="49">
      <c r="A49" s="14"/>
      <c r="B49" s="10" t="s">
        <v>153</v>
      </c>
      <c r="C49" s="10" t="s">
        <v>154</v>
      </c>
      <c r="D49" s="14"/>
      <c r="E49" s="14"/>
      <c r="F49" s="13"/>
      <c r="G49" s="13"/>
      <c r="H49" s="13"/>
      <c r="I49" s="13"/>
      <c r="J49" s="13"/>
    </row>
    <row r="50">
      <c r="A50" s="14"/>
      <c r="B50" s="10" t="s">
        <v>155</v>
      </c>
      <c r="C50" s="10" t="s">
        <v>156</v>
      </c>
      <c r="D50" s="14"/>
      <c r="E50" s="14"/>
      <c r="F50" s="13"/>
      <c r="G50" s="13"/>
      <c r="H50" s="13"/>
      <c r="I50" s="13"/>
      <c r="J50" s="13"/>
    </row>
    <row r="51">
      <c r="A51" s="15"/>
      <c r="B51" s="10" t="s">
        <v>157</v>
      </c>
      <c r="C51" s="10" t="s">
        <v>158</v>
      </c>
      <c r="D51" s="15"/>
      <c r="E51" s="15"/>
      <c r="F51" s="13"/>
      <c r="G51" s="13"/>
      <c r="H51" s="13"/>
      <c r="I51" s="13"/>
      <c r="J51" s="13"/>
    </row>
    <row r="52">
      <c r="A52" s="9" t="s">
        <v>159</v>
      </c>
      <c r="B52" s="10" t="s">
        <v>160</v>
      </c>
      <c r="C52" s="10" t="s">
        <v>161</v>
      </c>
      <c r="D52" s="11" t="s">
        <v>162</v>
      </c>
      <c r="E52" s="12" t="s">
        <v>163</v>
      </c>
      <c r="F52" s="10"/>
      <c r="G52" s="10"/>
      <c r="H52" s="10"/>
      <c r="I52" s="10"/>
      <c r="J52" s="13"/>
    </row>
    <row r="53">
      <c r="A53" s="14"/>
      <c r="B53" s="10" t="s">
        <v>164</v>
      </c>
      <c r="C53" s="10" t="s">
        <v>165</v>
      </c>
      <c r="D53" s="14"/>
      <c r="E53" s="14"/>
      <c r="F53" s="13"/>
      <c r="G53" s="13"/>
      <c r="H53" s="13"/>
      <c r="I53" s="13"/>
      <c r="J53" s="13"/>
    </row>
    <row r="54">
      <c r="A54" s="14"/>
      <c r="B54" s="10" t="s">
        <v>166</v>
      </c>
      <c r="C54" s="10" t="s">
        <v>167</v>
      </c>
      <c r="D54" s="14"/>
      <c r="E54" s="14"/>
      <c r="F54" s="13"/>
      <c r="G54" s="13"/>
      <c r="H54" s="13"/>
      <c r="I54" s="13"/>
      <c r="J54" s="13"/>
    </row>
    <row r="55">
      <c r="A55" s="15"/>
      <c r="B55" s="10" t="s">
        <v>168</v>
      </c>
      <c r="C55" s="10" t="s">
        <v>169</v>
      </c>
      <c r="D55" s="15"/>
      <c r="E55" s="15"/>
      <c r="F55" s="13"/>
      <c r="G55" s="13"/>
      <c r="H55" s="13"/>
      <c r="I55" s="13"/>
      <c r="J55" s="13"/>
    </row>
    <row r="56">
      <c r="A56" s="9" t="s">
        <v>170</v>
      </c>
      <c r="B56" s="10" t="s">
        <v>171</v>
      </c>
      <c r="C56" s="10" t="s">
        <v>172</v>
      </c>
      <c r="D56" s="11" t="s">
        <v>173</v>
      </c>
      <c r="E56" s="12" t="s">
        <v>174</v>
      </c>
      <c r="F56" s="10"/>
      <c r="G56" s="10"/>
      <c r="H56" s="10"/>
      <c r="I56" s="10"/>
      <c r="J56" s="13"/>
    </row>
    <row r="57">
      <c r="A57" s="14"/>
      <c r="B57" s="10" t="s">
        <v>175</v>
      </c>
      <c r="C57" s="10" t="s">
        <v>176</v>
      </c>
      <c r="D57" s="14"/>
      <c r="E57" s="14"/>
      <c r="F57" s="10"/>
      <c r="G57" s="10"/>
      <c r="H57" s="10"/>
      <c r="I57" s="10"/>
      <c r="J57" s="13"/>
    </row>
    <row r="58">
      <c r="A58" s="15"/>
      <c r="B58" s="10" t="s">
        <v>177</v>
      </c>
      <c r="C58" s="10" t="s">
        <v>178</v>
      </c>
      <c r="D58" s="15"/>
      <c r="E58" s="15"/>
      <c r="F58" s="10"/>
      <c r="G58" s="10"/>
      <c r="H58" s="10"/>
      <c r="I58" s="10"/>
      <c r="J58" s="13"/>
    </row>
  </sheetData>
  <mergeCells count="44">
    <mergeCell ref="A1:J1"/>
    <mergeCell ref="A2:J2"/>
    <mergeCell ref="A4:A7"/>
    <mergeCell ref="D4:D7"/>
    <mergeCell ref="E4:E7"/>
    <mergeCell ref="D8:D11"/>
    <mergeCell ref="E8:E11"/>
    <mergeCell ref="A8:A11"/>
    <mergeCell ref="A12:A15"/>
    <mergeCell ref="D12:D15"/>
    <mergeCell ref="E12:E15"/>
    <mergeCell ref="A16:A19"/>
    <mergeCell ref="E16:E19"/>
    <mergeCell ref="E20:E23"/>
    <mergeCell ref="D32:D35"/>
    <mergeCell ref="D36:D39"/>
    <mergeCell ref="D40:D43"/>
    <mergeCell ref="D44:D47"/>
    <mergeCell ref="D48:D51"/>
    <mergeCell ref="D52:D55"/>
    <mergeCell ref="D56:D58"/>
    <mergeCell ref="E36:E39"/>
    <mergeCell ref="E40:E43"/>
    <mergeCell ref="E44:E47"/>
    <mergeCell ref="E48:E51"/>
    <mergeCell ref="E52:E55"/>
    <mergeCell ref="E56:E58"/>
    <mergeCell ref="D16:D19"/>
    <mergeCell ref="D20:D23"/>
    <mergeCell ref="D24:D27"/>
    <mergeCell ref="E24:E27"/>
    <mergeCell ref="D28:D31"/>
    <mergeCell ref="E28:E31"/>
    <mergeCell ref="E32:E35"/>
    <mergeCell ref="A48:A51"/>
    <mergeCell ref="A52:A55"/>
    <mergeCell ref="A56:A58"/>
    <mergeCell ref="A20:A23"/>
    <mergeCell ref="A24:A27"/>
    <mergeCell ref="A28:A31"/>
    <mergeCell ref="A32:A35"/>
    <mergeCell ref="A36:A39"/>
    <mergeCell ref="A40:A43"/>
    <mergeCell ref="A44:A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88"/>
    <col customWidth="1" min="2" max="2" width="12.0"/>
    <col customWidth="1" min="3" max="3" width="27.75"/>
    <col customWidth="1" min="4" max="4" width="25.63"/>
    <col customWidth="1" min="5" max="5" width="27.75"/>
    <col customWidth="1" min="6" max="6" width="19.25"/>
    <col customWidth="1" min="7" max="7" width="19.0"/>
    <col customWidth="1" min="8" max="8" width="17.63"/>
    <col customWidth="1" min="9" max="10" width="23.13"/>
    <col customWidth="1" min="11" max="11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02.7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11</v>
      </c>
      <c r="H3" s="5" t="s">
        <v>15</v>
      </c>
      <c r="I3" s="5" t="s">
        <v>18</v>
      </c>
      <c r="J3" s="5" t="s">
        <v>19</v>
      </c>
      <c r="K3" s="5" t="s">
        <v>24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9" t="s">
        <v>30</v>
      </c>
      <c r="B4" s="10" t="s">
        <v>31</v>
      </c>
      <c r="C4" s="10" t="s">
        <v>32</v>
      </c>
      <c r="D4" s="11" t="s">
        <v>33</v>
      </c>
      <c r="E4" s="12" t="s">
        <v>34</v>
      </c>
      <c r="F4" s="10"/>
      <c r="G4" s="10"/>
      <c r="H4" s="10"/>
      <c r="I4" s="10"/>
      <c r="J4" s="10"/>
      <c r="K4" s="13"/>
    </row>
    <row r="5">
      <c r="A5" s="14"/>
      <c r="B5" s="10" t="s">
        <v>35</v>
      </c>
      <c r="C5" s="10" t="s">
        <v>36</v>
      </c>
      <c r="D5" s="14"/>
      <c r="E5" s="14"/>
      <c r="F5" s="10"/>
      <c r="G5" s="10"/>
      <c r="H5" s="10"/>
      <c r="I5" s="10"/>
      <c r="J5" s="10"/>
      <c r="K5" s="13"/>
    </row>
    <row r="6">
      <c r="A6" s="14"/>
      <c r="B6" s="10" t="s">
        <v>37</v>
      </c>
      <c r="C6" s="10" t="s">
        <v>38</v>
      </c>
      <c r="D6" s="14"/>
      <c r="E6" s="14"/>
      <c r="F6" s="10"/>
      <c r="G6" s="10"/>
      <c r="H6" s="10"/>
      <c r="I6" s="10"/>
      <c r="J6" s="10"/>
      <c r="K6" s="13"/>
    </row>
    <row r="7">
      <c r="A7" s="15"/>
      <c r="B7" s="10" t="s">
        <v>39</v>
      </c>
      <c r="C7" s="10" t="s">
        <v>40</v>
      </c>
      <c r="D7" s="15"/>
      <c r="E7" s="15"/>
      <c r="F7" s="10"/>
      <c r="G7" s="10"/>
      <c r="H7" s="10"/>
      <c r="I7" s="10"/>
      <c r="J7" s="10"/>
      <c r="K7" s="13"/>
    </row>
    <row r="8">
      <c r="A8" s="9" t="s">
        <v>41</v>
      </c>
      <c r="B8" s="10" t="s">
        <v>42</v>
      </c>
      <c r="C8" s="10" t="s">
        <v>43</v>
      </c>
      <c r="D8" s="11" t="s">
        <v>44</v>
      </c>
      <c r="E8" s="12" t="s">
        <v>45</v>
      </c>
      <c r="F8" s="13"/>
      <c r="G8" s="13"/>
      <c r="H8" s="13"/>
      <c r="I8" s="13"/>
      <c r="J8" s="13"/>
      <c r="K8" s="13"/>
    </row>
    <row r="9">
      <c r="A9" s="14"/>
      <c r="B9" s="10" t="s">
        <v>46</v>
      </c>
      <c r="C9" s="10" t="s">
        <v>47</v>
      </c>
      <c r="D9" s="14"/>
      <c r="E9" s="14"/>
      <c r="F9" s="13"/>
      <c r="G9" s="10"/>
      <c r="H9" s="13"/>
      <c r="I9" s="13"/>
      <c r="J9" s="13"/>
      <c r="K9" s="13"/>
    </row>
    <row r="10">
      <c r="A10" s="14"/>
      <c r="B10" s="10" t="s">
        <v>48</v>
      </c>
      <c r="C10" s="10" t="s">
        <v>49</v>
      </c>
      <c r="D10" s="14"/>
      <c r="E10" s="14"/>
      <c r="F10" s="13"/>
      <c r="G10" s="13"/>
      <c r="H10" s="13"/>
      <c r="I10" s="13"/>
      <c r="J10" s="13"/>
      <c r="K10" s="13"/>
    </row>
    <row r="11">
      <c r="A11" s="15"/>
      <c r="B11" s="10" t="s">
        <v>51</v>
      </c>
      <c r="C11" s="10" t="s">
        <v>52</v>
      </c>
      <c r="D11" s="15"/>
      <c r="E11" s="15"/>
      <c r="F11" s="13"/>
      <c r="G11" s="13"/>
      <c r="H11" s="13"/>
      <c r="I11" s="13"/>
      <c r="J11" s="13"/>
      <c r="K11" s="13"/>
    </row>
    <row r="12">
      <c r="A12" s="9" t="s">
        <v>53</v>
      </c>
      <c r="B12" s="10" t="s">
        <v>54</v>
      </c>
      <c r="C12" s="10" t="s">
        <v>55</v>
      </c>
      <c r="D12" s="11" t="s">
        <v>56</v>
      </c>
      <c r="E12" s="12" t="s">
        <v>57</v>
      </c>
      <c r="F12" s="13"/>
      <c r="G12" s="13"/>
      <c r="H12" s="13"/>
      <c r="I12" s="13"/>
      <c r="J12" s="13"/>
      <c r="K12" s="13"/>
    </row>
    <row r="13">
      <c r="A13" s="14"/>
      <c r="B13" s="10" t="s">
        <v>58</v>
      </c>
      <c r="C13" s="10" t="s">
        <v>59</v>
      </c>
      <c r="D13" s="14"/>
      <c r="E13" s="14"/>
      <c r="F13" s="13"/>
      <c r="G13" s="13"/>
      <c r="H13" s="13"/>
      <c r="I13" s="13"/>
      <c r="J13" s="13"/>
      <c r="K13" s="13"/>
    </row>
    <row r="14">
      <c r="A14" s="14"/>
      <c r="B14" s="10" t="s">
        <v>60</v>
      </c>
      <c r="C14" s="10" t="s">
        <v>61</v>
      </c>
      <c r="D14" s="14"/>
      <c r="E14" s="14"/>
      <c r="F14" s="13"/>
      <c r="G14" s="13"/>
      <c r="H14" s="13"/>
      <c r="I14" s="13"/>
      <c r="J14" s="13"/>
      <c r="K14" s="13"/>
    </row>
    <row r="15">
      <c r="A15" s="15"/>
      <c r="B15" s="10" t="s">
        <v>62</v>
      </c>
      <c r="C15" s="10" t="s">
        <v>63</v>
      </c>
      <c r="D15" s="15"/>
      <c r="E15" s="15"/>
      <c r="F15" s="13"/>
      <c r="G15" s="13"/>
      <c r="H15" s="13"/>
      <c r="I15" s="13"/>
      <c r="J15" s="13"/>
      <c r="K15" s="13"/>
    </row>
    <row r="16">
      <c r="A16" s="9" t="s">
        <v>64</v>
      </c>
      <c r="B16" s="10" t="s">
        <v>65</v>
      </c>
      <c r="C16" s="10" t="s">
        <v>66</v>
      </c>
      <c r="D16" s="11" t="s">
        <v>67</v>
      </c>
      <c r="E16" s="12" t="s">
        <v>68</v>
      </c>
      <c r="F16" s="10"/>
      <c r="G16" s="10"/>
      <c r="H16" s="10"/>
      <c r="I16" s="10"/>
      <c r="J16" s="10"/>
      <c r="K16" s="13"/>
    </row>
    <row r="17">
      <c r="A17" s="14"/>
      <c r="B17" s="10" t="s">
        <v>69</v>
      </c>
      <c r="C17" s="10" t="s">
        <v>70</v>
      </c>
      <c r="D17" s="14"/>
      <c r="E17" s="14"/>
      <c r="F17" s="10"/>
      <c r="G17" s="10"/>
      <c r="H17" s="10"/>
      <c r="I17" s="10"/>
      <c r="J17" s="10"/>
      <c r="K17" s="13"/>
    </row>
    <row r="18">
      <c r="A18" s="14"/>
      <c r="B18" s="10" t="s">
        <v>71</v>
      </c>
      <c r="C18" s="10" t="s">
        <v>72</v>
      </c>
      <c r="D18" s="14"/>
      <c r="E18" s="14"/>
      <c r="F18" s="10"/>
      <c r="G18" s="10"/>
      <c r="H18" s="10"/>
      <c r="I18" s="10"/>
      <c r="J18" s="10"/>
      <c r="K18" s="13"/>
    </row>
    <row r="19">
      <c r="A19" s="15"/>
      <c r="B19" s="10" t="s">
        <v>73</v>
      </c>
      <c r="C19" s="10" t="s">
        <v>74</v>
      </c>
      <c r="D19" s="15"/>
      <c r="E19" s="15"/>
      <c r="F19" s="10"/>
      <c r="G19" s="10"/>
      <c r="H19" s="10"/>
      <c r="I19" s="10"/>
      <c r="J19" s="10"/>
      <c r="K19" s="13"/>
    </row>
    <row r="20">
      <c r="A20" s="9" t="s">
        <v>75</v>
      </c>
      <c r="B20" s="10" t="s">
        <v>76</v>
      </c>
      <c r="C20" s="10" t="s">
        <v>77</v>
      </c>
      <c r="D20" s="11" t="s">
        <v>78</v>
      </c>
      <c r="E20" s="12" t="s">
        <v>79</v>
      </c>
      <c r="F20" s="13"/>
      <c r="G20" s="13"/>
      <c r="H20" s="13"/>
      <c r="I20" s="13"/>
      <c r="J20" s="13"/>
      <c r="K20" s="13"/>
    </row>
    <row r="21">
      <c r="A21" s="14"/>
      <c r="B21" s="10" t="s">
        <v>80</v>
      </c>
      <c r="C21" s="10" t="s">
        <v>81</v>
      </c>
      <c r="D21" s="14"/>
      <c r="E21" s="14"/>
      <c r="F21" s="13"/>
      <c r="G21" s="13"/>
      <c r="H21" s="13"/>
      <c r="I21" s="13"/>
      <c r="J21" s="13"/>
      <c r="K21" s="13"/>
    </row>
    <row r="22">
      <c r="A22" s="14"/>
      <c r="B22" s="10" t="s">
        <v>82</v>
      </c>
      <c r="C22" s="10" t="s">
        <v>83</v>
      </c>
      <c r="D22" s="14"/>
      <c r="E22" s="14"/>
      <c r="F22" s="13"/>
      <c r="G22" s="13"/>
      <c r="H22" s="13"/>
      <c r="I22" s="13"/>
      <c r="J22" s="13"/>
      <c r="K22" s="13"/>
    </row>
    <row r="23">
      <c r="A23" s="15"/>
      <c r="B23" s="10" t="s">
        <v>84</v>
      </c>
      <c r="C23" s="10" t="s">
        <v>85</v>
      </c>
      <c r="D23" s="15"/>
      <c r="E23" s="15"/>
      <c r="F23" s="13"/>
      <c r="G23" s="13"/>
      <c r="H23" s="13"/>
      <c r="I23" s="13"/>
      <c r="J23" s="13"/>
      <c r="K23" s="13"/>
    </row>
    <row r="24">
      <c r="A24" s="9" t="s">
        <v>86</v>
      </c>
      <c r="B24" s="10" t="s">
        <v>87</v>
      </c>
      <c r="C24" s="10" t="s">
        <v>88</v>
      </c>
      <c r="D24" s="11" t="s">
        <v>56</v>
      </c>
      <c r="E24" s="12" t="s">
        <v>89</v>
      </c>
      <c r="F24" s="13"/>
      <c r="G24" s="13"/>
      <c r="H24" s="13"/>
      <c r="I24" s="13"/>
      <c r="J24" s="13"/>
      <c r="K24" s="13"/>
    </row>
    <row r="25">
      <c r="A25" s="14"/>
      <c r="B25" s="10" t="s">
        <v>90</v>
      </c>
      <c r="C25" s="10" t="s">
        <v>91</v>
      </c>
      <c r="D25" s="14"/>
      <c r="E25" s="14"/>
      <c r="F25" s="13"/>
      <c r="G25" s="13"/>
      <c r="H25" s="13"/>
      <c r="I25" s="13"/>
      <c r="J25" s="13"/>
      <c r="K25" s="13"/>
    </row>
    <row r="26">
      <c r="A26" s="14"/>
      <c r="B26" s="10" t="s">
        <v>92</v>
      </c>
      <c r="C26" s="10" t="s">
        <v>93</v>
      </c>
      <c r="D26" s="14"/>
      <c r="E26" s="14"/>
      <c r="F26" s="13"/>
      <c r="G26" s="13"/>
      <c r="H26" s="13"/>
      <c r="I26" s="13"/>
      <c r="J26" s="13"/>
      <c r="K26" s="13"/>
    </row>
    <row r="27">
      <c r="A27" s="15"/>
      <c r="B27" s="10" t="s">
        <v>94</v>
      </c>
      <c r="C27" s="10" t="s">
        <v>95</v>
      </c>
      <c r="D27" s="15"/>
      <c r="E27" s="15"/>
      <c r="F27" s="13"/>
      <c r="G27" s="13"/>
      <c r="H27" s="13"/>
      <c r="I27" s="13"/>
      <c r="J27" s="13"/>
      <c r="K27" s="13"/>
    </row>
    <row r="28">
      <c r="A28" s="9" t="s">
        <v>96</v>
      </c>
      <c r="B28" s="10" t="s">
        <v>97</v>
      </c>
      <c r="C28" s="10" t="s">
        <v>98</v>
      </c>
      <c r="D28" s="11" t="s">
        <v>99</v>
      </c>
      <c r="E28" s="12" t="s">
        <v>100</v>
      </c>
      <c r="F28" s="10"/>
      <c r="G28" s="10"/>
      <c r="H28" s="10"/>
      <c r="I28" s="10"/>
      <c r="J28" s="10"/>
      <c r="K28" s="13"/>
    </row>
    <row r="29">
      <c r="A29" s="14"/>
      <c r="B29" s="10" t="s">
        <v>101</v>
      </c>
      <c r="C29" s="10" t="s">
        <v>102</v>
      </c>
      <c r="D29" s="14"/>
      <c r="E29" s="14"/>
      <c r="F29" s="10"/>
      <c r="G29" s="10"/>
      <c r="H29" s="10"/>
      <c r="I29" s="10"/>
      <c r="J29" s="10"/>
      <c r="K29" s="13"/>
    </row>
    <row r="30">
      <c r="A30" s="14"/>
      <c r="B30" s="10" t="s">
        <v>103</v>
      </c>
      <c r="C30" s="10" t="s">
        <v>104</v>
      </c>
      <c r="D30" s="14"/>
      <c r="E30" s="14"/>
      <c r="F30" s="10"/>
      <c r="G30" s="10"/>
      <c r="H30" s="10"/>
      <c r="I30" s="10"/>
      <c r="J30" s="10"/>
      <c r="K30" s="13"/>
    </row>
    <row r="31">
      <c r="A31" s="15"/>
      <c r="B31" s="10" t="s">
        <v>105</v>
      </c>
      <c r="C31" s="10" t="s">
        <v>106</v>
      </c>
      <c r="D31" s="15"/>
      <c r="E31" s="15"/>
      <c r="F31" s="10"/>
      <c r="G31" s="10"/>
      <c r="H31" s="10"/>
      <c r="I31" s="10"/>
      <c r="J31" s="10"/>
      <c r="K31" s="13"/>
    </row>
    <row r="32">
      <c r="A32" s="9" t="s">
        <v>107</v>
      </c>
      <c r="B32" s="10" t="s">
        <v>108</v>
      </c>
      <c r="C32" s="10" t="s">
        <v>109</v>
      </c>
      <c r="D32" s="11" t="s">
        <v>78</v>
      </c>
      <c r="E32" s="12" t="s">
        <v>110</v>
      </c>
      <c r="F32" s="13"/>
      <c r="G32" s="13"/>
      <c r="H32" s="13"/>
      <c r="I32" s="13"/>
      <c r="J32" s="13"/>
      <c r="K32" s="13"/>
    </row>
    <row r="33">
      <c r="A33" s="14"/>
      <c r="B33" s="10" t="s">
        <v>111</v>
      </c>
      <c r="C33" s="10" t="s">
        <v>112</v>
      </c>
      <c r="D33" s="14"/>
      <c r="E33" s="14"/>
      <c r="F33" s="13"/>
      <c r="G33" s="13"/>
      <c r="H33" s="13"/>
      <c r="I33" s="13"/>
      <c r="J33" s="13"/>
      <c r="K33" s="13"/>
    </row>
    <row r="34">
      <c r="A34" s="14"/>
      <c r="B34" s="10" t="s">
        <v>113</v>
      </c>
      <c r="C34" s="10" t="s">
        <v>114</v>
      </c>
      <c r="D34" s="14"/>
      <c r="E34" s="14"/>
      <c r="F34" s="13"/>
      <c r="G34" s="13"/>
      <c r="H34" s="13"/>
      <c r="I34" s="13"/>
      <c r="J34" s="13"/>
      <c r="K34" s="13"/>
    </row>
    <row r="35">
      <c r="A35" s="15"/>
      <c r="B35" s="10" t="s">
        <v>115</v>
      </c>
      <c r="C35" s="10" t="s">
        <v>116</v>
      </c>
      <c r="D35" s="15"/>
      <c r="E35" s="15"/>
      <c r="F35" s="13"/>
      <c r="G35" s="13"/>
      <c r="H35" s="13"/>
      <c r="I35" s="13"/>
      <c r="J35" s="13"/>
      <c r="K35" s="13"/>
    </row>
    <row r="36">
      <c r="A36" s="9" t="s">
        <v>117</v>
      </c>
      <c r="B36" s="10" t="s">
        <v>118</v>
      </c>
      <c r="C36" s="10" t="s">
        <v>119</v>
      </c>
      <c r="D36" s="11" t="s">
        <v>44</v>
      </c>
      <c r="E36" s="12" t="s">
        <v>120</v>
      </c>
      <c r="F36" s="13"/>
      <c r="G36" s="13"/>
      <c r="H36" s="13"/>
      <c r="I36" s="13"/>
      <c r="J36" s="13"/>
      <c r="K36" s="13"/>
    </row>
    <row r="37">
      <c r="A37" s="14"/>
      <c r="B37" s="10" t="s">
        <v>121</v>
      </c>
      <c r="C37" s="10" t="s">
        <v>122</v>
      </c>
      <c r="D37" s="14"/>
      <c r="E37" s="14"/>
      <c r="F37" s="13"/>
      <c r="G37" s="13"/>
      <c r="H37" s="13"/>
      <c r="I37" s="13"/>
      <c r="J37" s="13"/>
      <c r="K37" s="13"/>
    </row>
    <row r="38">
      <c r="A38" s="14"/>
      <c r="B38" s="10" t="s">
        <v>123</v>
      </c>
      <c r="C38" s="10" t="s">
        <v>124</v>
      </c>
      <c r="D38" s="14"/>
      <c r="E38" s="14"/>
      <c r="F38" s="13"/>
      <c r="G38" s="13"/>
      <c r="H38" s="13"/>
      <c r="I38" s="13"/>
      <c r="J38" s="13"/>
      <c r="K38" s="13"/>
    </row>
    <row r="39">
      <c r="A39" s="15"/>
      <c r="B39" s="10" t="s">
        <v>125</v>
      </c>
      <c r="C39" s="10" t="s">
        <v>126</v>
      </c>
      <c r="D39" s="15"/>
      <c r="E39" s="15"/>
      <c r="F39" s="13"/>
      <c r="G39" s="13"/>
      <c r="H39" s="13"/>
      <c r="I39" s="13"/>
      <c r="J39" s="13"/>
      <c r="K39" s="13"/>
    </row>
    <row r="40">
      <c r="A40" s="9" t="s">
        <v>127</v>
      </c>
      <c r="B40" s="10" t="s">
        <v>128</v>
      </c>
      <c r="C40" s="10" t="s">
        <v>129</v>
      </c>
      <c r="D40" s="11" t="s">
        <v>130</v>
      </c>
      <c r="E40" s="12" t="s">
        <v>131</v>
      </c>
      <c r="F40" s="10"/>
      <c r="G40" s="10"/>
      <c r="H40" s="10"/>
      <c r="I40" s="10"/>
      <c r="J40" s="10"/>
      <c r="K40" s="13"/>
    </row>
    <row r="41">
      <c r="A41" s="14"/>
      <c r="B41" s="10" t="s">
        <v>132</v>
      </c>
      <c r="C41" s="10" t="s">
        <v>133</v>
      </c>
      <c r="D41" s="14"/>
      <c r="E41" s="14"/>
      <c r="F41" s="10"/>
      <c r="G41" s="10"/>
      <c r="H41" s="10"/>
      <c r="I41" s="10"/>
      <c r="J41" s="10"/>
      <c r="K41" s="13"/>
    </row>
    <row r="42">
      <c r="A42" s="14"/>
      <c r="B42" s="10" t="s">
        <v>134</v>
      </c>
      <c r="C42" s="10" t="s">
        <v>135</v>
      </c>
      <c r="D42" s="14"/>
      <c r="E42" s="14"/>
      <c r="F42" s="10"/>
      <c r="G42" s="10"/>
      <c r="H42" s="10"/>
      <c r="I42" s="10"/>
      <c r="J42" s="10"/>
      <c r="K42" s="13"/>
    </row>
    <row r="43">
      <c r="A43" s="15"/>
      <c r="B43" s="10" t="s">
        <v>136</v>
      </c>
      <c r="C43" s="10" t="s">
        <v>137</v>
      </c>
      <c r="D43" s="15"/>
      <c r="E43" s="15"/>
      <c r="F43" s="10"/>
      <c r="G43" s="10"/>
      <c r="H43" s="10"/>
      <c r="I43" s="10"/>
      <c r="J43" s="10"/>
      <c r="K43" s="13"/>
    </row>
    <row r="44">
      <c r="A44" s="9" t="s">
        <v>138</v>
      </c>
      <c r="B44" s="10" t="s">
        <v>139</v>
      </c>
      <c r="C44" s="10" t="s">
        <v>140</v>
      </c>
      <c r="D44" s="11" t="s">
        <v>67</v>
      </c>
      <c r="E44" s="12" t="s">
        <v>141</v>
      </c>
      <c r="F44" s="10"/>
      <c r="G44" s="10"/>
      <c r="H44" s="10"/>
      <c r="I44" s="10"/>
      <c r="J44" s="10"/>
      <c r="K44" s="13"/>
    </row>
    <row r="45">
      <c r="A45" s="14"/>
      <c r="B45" s="10" t="s">
        <v>142</v>
      </c>
      <c r="C45" s="10" t="s">
        <v>143</v>
      </c>
      <c r="D45" s="14"/>
      <c r="E45" s="14"/>
      <c r="F45" s="10"/>
      <c r="G45" s="10"/>
      <c r="H45" s="10"/>
      <c r="I45" s="10"/>
      <c r="J45" s="10"/>
      <c r="K45" s="13"/>
    </row>
    <row r="46">
      <c r="A46" s="14"/>
      <c r="B46" s="10" t="s">
        <v>144</v>
      </c>
      <c r="C46" s="10" t="s">
        <v>145</v>
      </c>
      <c r="D46" s="14"/>
      <c r="E46" s="14"/>
      <c r="F46" s="10"/>
      <c r="G46" s="10"/>
      <c r="H46" s="10"/>
      <c r="I46" s="10"/>
      <c r="J46" s="10"/>
      <c r="K46" s="13"/>
    </row>
    <row r="47">
      <c r="A47" s="15"/>
      <c r="B47" s="10" t="s">
        <v>146</v>
      </c>
      <c r="C47" s="10" t="s">
        <v>147</v>
      </c>
      <c r="D47" s="15"/>
      <c r="E47" s="15"/>
      <c r="F47" s="10"/>
      <c r="G47" s="10"/>
      <c r="H47" s="10"/>
      <c r="I47" s="10"/>
      <c r="J47" s="10"/>
      <c r="K47" s="13"/>
    </row>
    <row r="48">
      <c r="A48" s="9" t="s">
        <v>148</v>
      </c>
      <c r="B48" s="10" t="s">
        <v>149</v>
      </c>
      <c r="C48" s="10" t="s">
        <v>150</v>
      </c>
      <c r="D48" s="11" t="s">
        <v>151</v>
      </c>
      <c r="E48" s="12" t="s">
        <v>152</v>
      </c>
      <c r="F48" s="13"/>
      <c r="G48" s="13"/>
      <c r="H48" s="13"/>
      <c r="I48" s="13"/>
      <c r="J48" s="13"/>
      <c r="K48" s="13"/>
    </row>
    <row r="49">
      <c r="A49" s="14"/>
      <c r="B49" s="10" t="s">
        <v>153</v>
      </c>
      <c r="C49" s="10" t="s">
        <v>154</v>
      </c>
      <c r="D49" s="14"/>
      <c r="E49" s="14"/>
      <c r="F49" s="13"/>
      <c r="G49" s="13"/>
      <c r="H49" s="13"/>
      <c r="I49" s="13"/>
      <c r="J49" s="13"/>
      <c r="K49" s="13"/>
    </row>
    <row r="50">
      <c r="A50" s="14"/>
      <c r="B50" s="10" t="s">
        <v>155</v>
      </c>
      <c r="C50" s="10" t="s">
        <v>156</v>
      </c>
      <c r="D50" s="14"/>
      <c r="E50" s="14"/>
      <c r="F50" s="13"/>
      <c r="G50" s="13"/>
      <c r="H50" s="13"/>
      <c r="I50" s="13"/>
      <c r="J50" s="13"/>
      <c r="K50" s="13"/>
    </row>
    <row r="51">
      <c r="A51" s="15"/>
      <c r="B51" s="10" t="s">
        <v>157</v>
      </c>
      <c r="C51" s="10" t="s">
        <v>158</v>
      </c>
      <c r="D51" s="15"/>
      <c r="E51" s="15"/>
      <c r="F51" s="13"/>
      <c r="G51" s="13"/>
      <c r="H51" s="13"/>
      <c r="I51" s="13"/>
      <c r="J51" s="13"/>
      <c r="K51" s="13"/>
    </row>
    <row r="52">
      <c r="A52" s="9" t="s">
        <v>159</v>
      </c>
      <c r="B52" s="10" t="s">
        <v>160</v>
      </c>
      <c r="C52" s="10" t="s">
        <v>161</v>
      </c>
      <c r="D52" s="11" t="s">
        <v>162</v>
      </c>
      <c r="E52" s="12" t="s">
        <v>163</v>
      </c>
      <c r="F52" s="10"/>
      <c r="G52" s="10"/>
      <c r="H52" s="10"/>
      <c r="I52" s="10"/>
      <c r="J52" s="10"/>
      <c r="K52" s="13"/>
    </row>
    <row r="53">
      <c r="A53" s="14"/>
      <c r="B53" s="10" t="s">
        <v>164</v>
      </c>
      <c r="C53" s="10" t="s">
        <v>165</v>
      </c>
      <c r="D53" s="14"/>
      <c r="E53" s="14"/>
      <c r="F53" s="13"/>
      <c r="G53" s="13"/>
      <c r="H53" s="13"/>
      <c r="I53" s="13"/>
      <c r="J53" s="13"/>
      <c r="K53" s="13"/>
    </row>
    <row r="54">
      <c r="A54" s="14"/>
      <c r="B54" s="10" t="s">
        <v>166</v>
      </c>
      <c r="C54" s="10" t="s">
        <v>167</v>
      </c>
      <c r="D54" s="14"/>
      <c r="E54" s="14"/>
      <c r="F54" s="13"/>
      <c r="G54" s="13"/>
      <c r="H54" s="13"/>
      <c r="I54" s="13"/>
      <c r="J54" s="13"/>
      <c r="K54" s="13"/>
    </row>
    <row r="55">
      <c r="A55" s="15"/>
      <c r="B55" s="10" t="s">
        <v>168</v>
      </c>
      <c r="C55" s="10" t="s">
        <v>169</v>
      </c>
      <c r="D55" s="15"/>
      <c r="E55" s="15"/>
      <c r="F55" s="13"/>
      <c r="G55" s="13"/>
      <c r="H55" s="13"/>
      <c r="I55" s="13"/>
      <c r="J55" s="13"/>
      <c r="K55" s="13"/>
    </row>
    <row r="56">
      <c r="A56" s="9" t="s">
        <v>170</v>
      </c>
      <c r="B56" s="10" t="s">
        <v>171</v>
      </c>
      <c r="C56" s="10" t="s">
        <v>172</v>
      </c>
      <c r="D56" s="11" t="s">
        <v>173</v>
      </c>
      <c r="E56" s="12" t="s">
        <v>174</v>
      </c>
      <c r="F56" s="10"/>
      <c r="G56" s="10"/>
      <c r="H56" s="10"/>
      <c r="I56" s="10"/>
      <c r="J56" s="10"/>
      <c r="K56" s="13"/>
    </row>
    <row r="57">
      <c r="A57" s="14"/>
      <c r="B57" s="10" t="s">
        <v>175</v>
      </c>
      <c r="C57" s="10" t="s">
        <v>176</v>
      </c>
      <c r="D57" s="14"/>
      <c r="E57" s="14"/>
      <c r="F57" s="10"/>
      <c r="G57" s="10"/>
      <c r="H57" s="10"/>
      <c r="I57" s="10"/>
      <c r="J57" s="10"/>
      <c r="K57" s="13"/>
    </row>
    <row r="58">
      <c r="A58" s="15"/>
      <c r="B58" s="10" t="s">
        <v>177</v>
      </c>
      <c r="C58" s="10" t="s">
        <v>178</v>
      </c>
      <c r="D58" s="15"/>
      <c r="E58" s="15"/>
      <c r="F58" s="10"/>
      <c r="G58" s="10"/>
      <c r="H58" s="10"/>
      <c r="I58" s="10"/>
      <c r="J58" s="10"/>
      <c r="K58" s="13"/>
    </row>
  </sheetData>
  <mergeCells count="44">
    <mergeCell ref="A1:K1"/>
    <mergeCell ref="A2:K2"/>
    <mergeCell ref="A4:A7"/>
    <mergeCell ref="D4:D7"/>
    <mergeCell ref="E4:E7"/>
    <mergeCell ref="D8:D11"/>
    <mergeCell ref="E8:E11"/>
    <mergeCell ref="A8:A11"/>
    <mergeCell ref="A12:A15"/>
    <mergeCell ref="D12:D15"/>
    <mergeCell ref="E12:E15"/>
    <mergeCell ref="A16:A19"/>
    <mergeCell ref="E16:E19"/>
    <mergeCell ref="E20:E23"/>
    <mergeCell ref="D32:D35"/>
    <mergeCell ref="D36:D39"/>
    <mergeCell ref="D40:D43"/>
    <mergeCell ref="D44:D47"/>
    <mergeCell ref="D48:D51"/>
    <mergeCell ref="D52:D55"/>
    <mergeCell ref="D56:D58"/>
    <mergeCell ref="E36:E39"/>
    <mergeCell ref="E40:E43"/>
    <mergeCell ref="E44:E47"/>
    <mergeCell ref="E48:E51"/>
    <mergeCell ref="E52:E55"/>
    <mergeCell ref="E56:E58"/>
    <mergeCell ref="D16:D19"/>
    <mergeCell ref="D20:D23"/>
    <mergeCell ref="D24:D27"/>
    <mergeCell ref="E24:E27"/>
    <mergeCell ref="D28:D31"/>
    <mergeCell ref="E28:E31"/>
    <mergeCell ref="E32:E35"/>
    <mergeCell ref="A48:A51"/>
    <mergeCell ref="A52:A55"/>
    <mergeCell ref="A56:A58"/>
    <mergeCell ref="A20:A23"/>
    <mergeCell ref="A24:A27"/>
    <mergeCell ref="A28:A31"/>
    <mergeCell ref="A32:A35"/>
    <mergeCell ref="A36:A39"/>
    <mergeCell ref="A40:A43"/>
    <mergeCell ref="A44:A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2.0"/>
    <col customWidth="1" min="3" max="3" width="23.13"/>
    <col customWidth="1" min="4" max="4" width="22.0"/>
    <col customWidth="1" min="5" max="5" width="24.63"/>
    <col customWidth="1" min="6" max="6" width="13.63"/>
    <col customWidth="1" min="7" max="7" width="15.88"/>
    <col customWidth="1" min="8" max="8" width="13.88"/>
    <col customWidth="1" min="9" max="9" width="14.38"/>
    <col customWidth="1" min="10" max="10" width="14.25"/>
    <col customWidth="1" min="11" max="11" width="13.75"/>
    <col customWidth="1" min="12" max="12" width="12.0"/>
  </cols>
  <sheetData>
    <row r="1">
      <c r="A1" s="18"/>
      <c r="B1" s="18"/>
      <c r="C1" s="18" t="s">
        <v>179</v>
      </c>
      <c r="D1" s="18"/>
      <c r="E1" s="18"/>
      <c r="F1" s="18"/>
      <c r="G1" s="18"/>
      <c r="H1" s="18"/>
      <c r="I1" s="18"/>
      <c r="J1" s="18"/>
      <c r="K1" s="18"/>
      <c r="L1" s="18"/>
    </row>
    <row r="2">
      <c r="A2" s="18" t="s">
        <v>180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4" t="s">
        <v>181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19" t="s">
        <v>182</v>
      </c>
      <c r="G5" s="19" t="s">
        <v>183</v>
      </c>
      <c r="H5" s="19" t="s">
        <v>184</v>
      </c>
      <c r="I5" s="19" t="s">
        <v>185</v>
      </c>
      <c r="J5" s="19" t="s">
        <v>186</v>
      </c>
      <c r="K5" s="19" t="s">
        <v>187</v>
      </c>
      <c r="L5" s="5" t="s">
        <v>188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9.5" customHeight="1">
      <c r="A6" s="9" t="s">
        <v>30</v>
      </c>
      <c r="B6" s="10" t="s">
        <v>31</v>
      </c>
      <c r="C6" s="10" t="s">
        <v>32</v>
      </c>
      <c r="D6" s="11" t="s">
        <v>33</v>
      </c>
      <c r="E6" s="12" t="s">
        <v>34</v>
      </c>
      <c r="F6" s="10">
        <v>8.0</v>
      </c>
      <c r="G6" s="10">
        <v>4.0</v>
      </c>
      <c r="H6" s="10">
        <v>3.0</v>
      </c>
      <c r="I6" s="10">
        <v>6.0</v>
      </c>
      <c r="J6" s="10">
        <v>4.0</v>
      </c>
      <c r="K6" s="10">
        <v>4.0</v>
      </c>
      <c r="L6" s="13">
        <f t="shared" ref="L6:L61" si="1">SUM(F6:K6)</f>
        <v>29</v>
      </c>
    </row>
    <row r="7" ht="19.5" customHeight="1">
      <c r="A7" s="14"/>
      <c r="B7" s="10" t="s">
        <v>35</v>
      </c>
      <c r="C7" s="10" t="s">
        <v>36</v>
      </c>
      <c r="D7" s="14"/>
      <c r="E7" s="14"/>
      <c r="F7" s="10">
        <v>8.0</v>
      </c>
      <c r="G7" s="10">
        <v>4.0</v>
      </c>
      <c r="H7" s="10">
        <v>3.0</v>
      </c>
      <c r="I7" s="10">
        <v>6.0</v>
      </c>
      <c r="J7" s="10">
        <v>4.0</v>
      </c>
      <c r="K7" s="10">
        <v>4.0</v>
      </c>
      <c r="L7" s="13">
        <f t="shared" si="1"/>
        <v>29</v>
      </c>
    </row>
    <row r="8" ht="19.5" customHeight="1">
      <c r="A8" s="14"/>
      <c r="B8" s="10" t="s">
        <v>37</v>
      </c>
      <c r="C8" s="10" t="s">
        <v>38</v>
      </c>
      <c r="D8" s="14"/>
      <c r="E8" s="14"/>
      <c r="F8" s="10">
        <v>8.0</v>
      </c>
      <c r="G8" s="10">
        <v>4.0</v>
      </c>
      <c r="H8" s="10">
        <v>3.0</v>
      </c>
      <c r="I8" s="10">
        <v>6.0</v>
      </c>
      <c r="J8" s="10">
        <v>4.0</v>
      </c>
      <c r="K8" s="10">
        <v>2.0</v>
      </c>
      <c r="L8" s="13">
        <f t="shared" si="1"/>
        <v>27</v>
      </c>
    </row>
    <row r="9" ht="19.5" customHeight="1">
      <c r="A9" s="15"/>
      <c r="B9" s="10" t="s">
        <v>39</v>
      </c>
      <c r="C9" s="10" t="s">
        <v>40</v>
      </c>
      <c r="D9" s="15"/>
      <c r="E9" s="15"/>
      <c r="F9" s="10">
        <v>8.0</v>
      </c>
      <c r="G9" s="10">
        <v>4.0</v>
      </c>
      <c r="H9" s="10">
        <v>3.0</v>
      </c>
      <c r="I9" s="10">
        <v>6.0</v>
      </c>
      <c r="J9" s="10">
        <v>4.0</v>
      </c>
      <c r="K9" s="10">
        <v>3.0</v>
      </c>
      <c r="L9" s="13">
        <f t="shared" si="1"/>
        <v>28</v>
      </c>
    </row>
    <row r="10" ht="19.5" customHeight="1">
      <c r="A10" s="9" t="s">
        <v>41</v>
      </c>
      <c r="B10" s="10" t="s">
        <v>42</v>
      </c>
      <c r="C10" s="10" t="s">
        <v>43</v>
      </c>
      <c r="D10" s="11" t="s">
        <v>44</v>
      </c>
      <c r="E10" s="12" t="s">
        <v>45</v>
      </c>
      <c r="F10" s="10">
        <v>9.0</v>
      </c>
      <c r="G10" s="10">
        <v>4.0</v>
      </c>
      <c r="H10" s="10">
        <v>4.0</v>
      </c>
      <c r="I10" s="10">
        <v>9.0</v>
      </c>
      <c r="J10" s="10">
        <v>4.0</v>
      </c>
      <c r="K10" s="10">
        <v>4.0</v>
      </c>
      <c r="L10" s="13">
        <f t="shared" si="1"/>
        <v>34</v>
      </c>
    </row>
    <row r="11" ht="19.5" customHeight="1">
      <c r="A11" s="14"/>
      <c r="B11" s="10" t="s">
        <v>46</v>
      </c>
      <c r="C11" s="10" t="s">
        <v>47</v>
      </c>
      <c r="D11" s="14"/>
      <c r="E11" s="14"/>
      <c r="F11" s="10">
        <v>9.0</v>
      </c>
      <c r="G11" s="10">
        <v>4.0</v>
      </c>
      <c r="H11" s="10">
        <v>4.0</v>
      </c>
      <c r="I11" s="10">
        <v>9.0</v>
      </c>
      <c r="J11" s="10">
        <v>4.0</v>
      </c>
      <c r="K11" s="10">
        <v>4.0</v>
      </c>
      <c r="L11" s="13">
        <f t="shared" si="1"/>
        <v>34</v>
      </c>
    </row>
    <row r="12" ht="19.5" customHeight="1">
      <c r="A12" s="14"/>
      <c r="B12" s="10" t="s">
        <v>48</v>
      </c>
      <c r="C12" s="10" t="s">
        <v>49</v>
      </c>
      <c r="D12" s="14"/>
      <c r="E12" s="14"/>
      <c r="F12" s="10">
        <v>9.0</v>
      </c>
      <c r="G12" s="10">
        <v>4.0</v>
      </c>
      <c r="H12" s="10">
        <v>4.0</v>
      </c>
      <c r="I12" s="10">
        <v>9.0</v>
      </c>
      <c r="J12" s="10">
        <v>4.0</v>
      </c>
      <c r="K12" s="10">
        <v>4.0</v>
      </c>
      <c r="L12" s="13">
        <f t="shared" si="1"/>
        <v>34</v>
      </c>
    </row>
    <row r="13" ht="19.5" customHeight="1">
      <c r="A13" s="15"/>
      <c r="B13" s="10" t="s">
        <v>51</v>
      </c>
      <c r="C13" s="10" t="s">
        <v>52</v>
      </c>
      <c r="D13" s="15"/>
      <c r="E13" s="15"/>
      <c r="F13" s="10">
        <v>9.0</v>
      </c>
      <c r="G13" s="10">
        <v>4.0</v>
      </c>
      <c r="H13" s="10">
        <v>4.0</v>
      </c>
      <c r="I13" s="10">
        <v>9.0</v>
      </c>
      <c r="J13" s="10">
        <v>4.0</v>
      </c>
      <c r="K13" s="10">
        <v>2.0</v>
      </c>
      <c r="L13" s="13">
        <f t="shared" si="1"/>
        <v>32</v>
      </c>
    </row>
    <row r="14" ht="19.5" customHeight="1">
      <c r="A14" s="9" t="s">
        <v>53</v>
      </c>
      <c r="B14" s="10" t="s">
        <v>54</v>
      </c>
      <c r="C14" s="10" t="s">
        <v>55</v>
      </c>
      <c r="D14" s="11" t="s">
        <v>56</v>
      </c>
      <c r="E14" s="12" t="s">
        <v>57</v>
      </c>
      <c r="F14" s="10">
        <v>8.0</v>
      </c>
      <c r="G14" s="10">
        <v>4.0</v>
      </c>
      <c r="H14" s="10">
        <v>3.0</v>
      </c>
      <c r="I14" s="10">
        <v>8.0</v>
      </c>
      <c r="J14" s="10">
        <v>4.0</v>
      </c>
      <c r="K14" s="10">
        <v>4.0</v>
      </c>
      <c r="L14" s="13">
        <f t="shared" si="1"/>
        <v>31</v>
      </c>
    </row>
    <row r="15" ht="19.5" customHeight="1">
      <c r="A15" s="14"/>
      <c r="B15" s="10" t="s">
        <v>58</v>
      </c>
      <c r="C15" s="10" t="s">
        <v>59</v>
      </c>
      <c r="D15" s="14"/>
      <c r="E15" s="14"/>
      <c r="F15" s="10">
        <v>8.0</v>
      </c>
      <c r="G15" s="10">
        <v>4.0</v>
      </c>
      <c r="H15" s="10">
        <v>3.0</v>
      </c>
      <c r="I15" s="10">
        <v>8.0</v>
      </c>
      <c r="J15" s="10">
        <v>4.0</v>
      </c>
      <c r="K15" s="10">
        <v>3.0</v>
      </c>
      <c r="L15" s="13">
        <f t="shared" si="1"/>
        <v>30</v>
      </c>
    </row>
    <row r="16" ht="19.5" customHeight="1">
      <c r="A16" s="14"/>
      <c r="B16" s="10" t="s">
        <v>60</v>
      </c>
      <c r="C16" s="10" t="s">
        <v>61</v>
      </c>
      <c r="D16" s="14"/>
      <c r="E16" s="14"/>
      <c r="F16" s="10">
        <v>8.0</v>
      </c>
      <c r="G16" s="10">
        <v>4.0</v>
      </c>
      <c r="H16" s="10">
        <v>3.0</v>
      </c>
      <c r="I16" s="10">
        <v>8.0</v>
      </c>
      <c r="J16" s="10">
        <v>4.0</v>
      </c>
      <c r="K16" s="10">
        <v>2.0</v>
      </c>
      <c r="L16" s="13">
        <f t="shared" si="1"/>
        <v>29</v>
      </c>
    </row>
    <row r="17" ht="19.5" customHeight="1">
      <c r="A17" s="15"/>
      <c r="B17" s="10" t="s">
        <v>62</v>
      </c>
      <c r="C17" s="10" t="s">
        <v>63</v>
      </c>
      <c r="D17" s="15"/>
      <c r="E17" s="15"/>
      <c r="F17" s="10">
        <v>8.0</v>
      </c>
      <c r="G17" s="10">
        <v>4.0</v>
      </c>
      <c r="H17" s="10">
        <v>3.0</v>
      </c>
      <c r="I17" s="10">
        <v>8.0</v>
      </c>
      <c r="J17" s="10">
        <v>4.0</v>
      </c>
      <c r="K17" s="10">
        <v>4.0</v>
      </c>
      <c r="L17" s="13">
        <f t="shared" si="1"/>
        <v>31</v>
      </c>
    </row>
    <row r="18" ht="19.5" customHeight="1">
      <c r="A18" s="9" t="s">
        <v>64</v>
      </c>
      <c r="B18" s="10" t="s">
        <v>65</v>
      </c>
      <c r="C18" s="10" t="s">
        <v>66</v>
      </c>
      <c r="D18" s="11" t="s">
        <v>67</v>
      </c>
      <c r="E18" s="12" t="s">
        <v>68</v>
      </c>
      <c r="F18" s="10">
        <v>8.0</v>
      </c>
      <c r="G18" s="10">
        <v>4.0</v>
      </c>
      <c r="H18" s="10">
        <v>3.0</v>
      </c>
      <c r="I18" s="10">
        <v>8.0</v>
      </c>
      <c r="J18" s="10">
        <v>4.0</v>
      </c>
      <c r="K18" s="10">
        <v>4.0</v>
      </c>
      <c r="L18" s="13">
        <f t="shared" si="1"/>
        <v>31</v>
      </c>
    </row>
    <row r="19" ht="19.5" customHeight="1">
      <c r="A19" s="14"/>
      <c r="B19" s="10" t="s">
        <v>69</v>
      </c>
      <c r="C19" s="10" t="s">
        <v>70</v>
      </c>
      <c r="D19" s="14"/>
      <c r="E19" s="14"/>
      <c r="F19" s="10">
        <v>8.0</v>
      </c>
      <c r="G19" s="10">
        <v>4.0</v>
      </c>
      <c r="H19" s="10">
        <v>3.0</v>
      </c>
      <c r="I19" s="10">
        <v>8.0</v>
      </c>
      <c r="J19" s="10">
        <v>4.0</v>
      </c>
      <c r="K19" s="10">
        <v>4.0</v>
      </c>
      <c r="L19" s="13">
        <f t="shared" si="1"/>
        <v>31</v>
      </c>
    </row>
    <row r="20" ht="19.5" customHeight="1">
      <c r="A20" s="14"/>
      <c r="B20" s="10" t="s">
        <v>71</v>
      </c>
      <c r="C20" s="10" t="s">
        <v>72</v>
      </c>
      <c r="D20" s="14"/>
      <c r="E20" s="14"/>
      <c r="F20" s="10">
        <v>8.0</v>
      </c>
      <c r="G20" s="10">
        <v>4.0</v>
      </c>
      <c r="H20" s="10">
        <v>3.0</v>
      </c>
      <c r="I20" s="10">
        <v>8.0</v>
      </c>
      <c r="J20" s="10">
        <v>4.0</v>
      </c>
      <c r="K20" s="10">
        <v>4.0</v>
      </c>
      <c r="L20" s="13">
        <f t="shared" si="1"/>
        <v>31</v>
      </c>
    </row>
    <row r="21" ht="19.5" customHeight="1">
      <c r="A21" s="15"/>
      <c r="B21" s="10" t="s">
        <v>73</v>
      </c>
      <c r="C21" s="10" t="s">
        <v>74</v>
      </c>
      <c r="D21" s="15"/>
      <c r="E21" s="15"/>
      <c r="F21" s="10">
        <v>8.0</v>
      </c>
      <c r="G21" s="10">
        <v>4.0</v>
      </c>
      <c r="H21" s="10">
        <v>3.0</v>
      </c>
      <c r="I21" s="10">
        <v>8.0</v>
      </c>
      <c r="J21" s="10">
        <v>4.0</v>
      </c>
      <c r="K21" s="10">
        <v>2.0</v>
      </c>
      <c r="L21" s="13">
        <f t="shared" si="1"/>
        <v>29</v>
      </c>
    </row>
    <row r="22" ht="19.5" customHeight="1">
      <c r="A22" s="9" t="s">
        <v>75</v>
      </c>
      <c r="B22" s="10" t="s">
        <v>76</v>
      </c>
      <c r="C22" s="10" t="s">
        <v>77</v>
      </c>
      <c r="D22" s="11" t="s">
        <v>78</v>
      </c>
      <c r="E22" s="12" t="s">
        <v>79</v>
      </c>
      <c r="F22" s="10">
        <v>7.0</v>
      </c>
      <c r="G22" s="10">
        <v>4.0</v>
      </c>
      <c r="H22" s="10">
        <v>4.0</v>
      </c>
      <c r="I22" s="10">
        <v>7.0</v>
      </c>
      <c r="J22" s="10">
        <v>3.0</v>
      </c>
      <c r="K22" s="10">
        <v>2.0</v>
      </c>
      <c r="L22" s="13">
        <f t="shared" si="1"/>
        <v>27</v>
      </c>
    </row>
    <row r="23" ht="19.5" customHeight="1">
      <c r="A23" s="14"/>
      <c r="B23" s="10" t="s">
        <v>80</v>
      </c>
      <c r="C23" s="10" t="s">
        <v>81</v>
      </c>
      <c r="D23" s="14"/>
      <c r="E23" s="14"/>
      <c r="F23" s="10">
        <v>7.0</v>
      </c>
      <c r="G23" s="10">
        <v>4.0</v>
      </c>
      <c r="H23" s="10">
        <v>4.0</v>
      </c>
      <c r="I23" s="10">
        <v>7.0</v>
      </c>
      <c r="J23" s="10">
        <v>3.0</v>
      </c>
      <c r="K23" s="10">
        <v>3.0</v>
      </c>
      <c r="L23" s="13">
        <f t="shared" si="1"/>
        <v>28</v>
      </c>
    </row>
    <row r="24" ht="19.5" customHeight="1">
      <c r="A24" s="14"/>
      <c r="B24" s="10" t="s">
        <v>82</v>
      </c>
      <c r="C24" s="10" t="s">
        <v>83</v>
      </c>
      <c r="D24" s="14"/>
      <c r="E24" s="14"/>
      <c r="F24" s="10">
        <v>7.0</v>
      </c>
      <c r="G24" s="10">
        <v>4.0</v>
      </c>
      <c r="H24" s="10">
        <v>4.0</v>
      </c>
      <c r="I24" s="10">
        <v>7.0</v>
      </c>
      <c r="J24" s="10">
        <v>3.0</v>
      </c>
      <c r="K24" s="10">
        <v>2.0</v>
      </c>
      <c r="L24" s="13">
        <f t="shared" si="1"/>
        <v>27</v>
      </c>
    </row>
    <row r="25" ht="19.5" customHeight="1">
      <c r="A25" s="15"/>
      <c r="B25" s="10" t="s">
        <v>84</v>
      </c>
      <c r="C25" s="10" t="s">
        <v>85</v>
      </c>
      <c r="D25" s="15"/>
      <c r="E25" s="15"/>
      <c r="F25" s="10">
        <v>7.0</v>
      </c>
      <c r="G25" s="10">
        <v>4.0</v>
      </c>
      <c r="H25" s="10">
        <v>4.0</v>
      </c>
      <c r="I25" s="10">
        <v>7.0</v>
      </c>
      <c r="J25" s="10">
        <v>3.0</v>
      </c>
      <c r="K25" s="10">
        <v>2.0</v>
      </c>
      <c r="L25" s="13">
        <f t="shared" si="1"/>
        <v>27</v>
      </c>
    </row>
    <row r="26" ht="19.5" customHeight="1">
      <c r="A26" s="9" t="s">
        <v>86</v>
      </c>
      <c r="B26" s="10" t="s">
        <v>87</v>
      </c>
      <c r="C26" s="10" t="s">
        <v>88</v>
      </c>
      <c r="D26" s="11" t="s">
        <v>56</v>
      </c>
      <c r="E26" s="12" t="s">
        <v>89</v>
      </c>
      <c r="F26" s="10">
        <v>9.0</v>
      </c>
      <c r="G26" s="10">
        <v>4.0</v>
      </c>
      <c r="H26" s="10">
        <v>4.0</v>
      </c>
      <c r="I26" s="10">
        <v>9.0</v>
      </c>
      <c r="J26" s="10">
        <v>4.0</v>
      </c>
      <c r="K26" s="10">
        <v>3.0</v>
      </c>
      <c r="L26" s="13">
        <f t="shared" si="1"/>
        <v>33</v>
      </c>
    </row>
    <row r="27" ht="19.5" customHeight="1">
      <c r="A27" s="14"/>
      <c r="B27" s="10" t="s">
        <v>90</v>
      </c>
      <c r="C27" s="10" t="s">
        <v>91</v>
      </c>
      <c r="D27" s="14"/>
      <c r="E27" s="14"/>
      <c r="F27" s="10">
        <v>9.0</v>
      </c>
      <c r="G27" s="10">
        <v>4.0</v>
      </c>
      <c r="H27" s="10">
        <v>4.0</v>
      </c>
      <c r="I27" s="10">
        <v>9.0</v>
      </c>
      <c r="J27" s="10">
        <v>4.0</v>
      </c>
      <c r="K27" s="10">
        <v>4.0</v>
      </c>
      <c r="L27" s="13">
        <f t="shared" si="1"/>
        <v>34</v>
      </c>
    </row>
    <row r="28" ht="19.5" customHeight="1">
      <c r="A28" s="14"/>
      <c r="B28" s="10" t="s">
        <v>92</v>
      </c>
      <c r="C28" s="10" t="s">
        <v>93</v>
      </c>
      <c r="D28" s="14"/>
      <c r="E28" s="14"/>
      <c r="F28" s="10">
        <v>9.0</v>
      </c>
      <c r="G28" s="10">
        <v>4.0</v>
      </c>
      <c r="H28" s="10">
        <v>4.0</v>
      </c>
      <c r="I28" s="10">
        <v>9.0</v>
      </c>
      <c r="J28" s="10">
        <v>4.0</v>
      </c>
      <c r="K28" s="10">
        <v>3.0</v>
      </c>
      <c r="L28" s="13">
        <f t="shared" si="1"/>
        <v>33</v>
      </c>
    </row>
    <row r="29" ht="19.5" customHeight="1">
      <c r="A29" s="15"/>
      <c r="B29" s="10" t="s">
        <v>94</v>
      </c>
      <c r="C29" s="10" t="s">
        <v>95</v>
      </c>
      <c r="D29" s="15"/>
      <c r="E29" s="15"/>
      <c r="F29" s="10">
        <v>9.0</v>
      </c>
      <c r="G29" s="10">
        <v>4.0</v>
      </c>
      <c r="H29" s="10">
        <v>4.0</v>
      </c>
      <c r="I29" s="10">
        <v>9.0</v>
      </c>
      <c r="J29" s="10">
        <v>4.0</v>
      </c>
      <c r="K29" s="10">
        <v>3.0</v>
      </c>
      <c r="L29" s="13">
        <f t="shared" si="1"/>
        <v>33</v>
      </c>
    </row>
    <row r="30" ht="19.5" customHeight="1">
      <c r="A30" s="9" t="s">
        <v>96</v>
      </c>
      <c r="B30" s="10" t="s">
        <v>97</v>
      </c>
      <c r="C30" s="10" t="s">
        <v>98</v>
      </c>
      <c r="D30" s="11" t="s">
        <v>99</v>
      </c>
      <c r="E30" s="12" t="s">
        <v>100</v>
      </c>
      <c r="F30" s="10">
        <v>7.0</v>
      </c>
      <c r="G30" s="10">
        <v>4.0</v>
      </c>
      <c r="H30" s="10">
        <v>4.0</v>
      </c>
      <c r="I30" s="10">
        <v>7.0</v>
      </c>
      <c r="J30" s="10">
        <v>3.0</v>
      </c>
      <c r="K30" s="10">
        <v>4.0</v>
      </c>
      <c r="L30" s="13">
        <f t="shared" si="1"/>
        <v>29</v>
      </c>
    </row>
    <row r="31" ht="19.5" customHeight="1">
      <c r="A31" s="14"/>
      <c r="B31" s="10" t="s">
        <v>101</v>
      </c>
      <c r="C31" s="10" t="s">
        <v>102</v>
      </c>
      <c r="D31" s="14"/>
      <c r="E31" s="14"/>
      <c r="F31" s="10">
        <v>7.0</v>
      </c>
      <c r="G31" s="10">
        <v>4.0</v>
      </c>
      <c r="H31" s="10">
        <v>4.0</v>
      </c>
      <c r="I31" s="10">
        <v>7.0</v>
      </c>
      <c r="J31" s="10">
        <v>3.0</v>
      </c>
      <c r="K31" s="10">
        <v>4.0</v>
      </c>
      <c r="L31" s="13">
        <f t="shared" si="1"/>
        <v>29</v>
      </c>
    </row>
    <row r="32" ht="19.5" customHeight="1">
      <c r="A32" s="14"/>
      <c r="B32" s="10" t="s">
        <v>103</v>
      </c>
      <c r="C32" s="10" t="s">
        <v>104</v>
      </c>
      <c r="D32" s="14"/>
      <c r="E32" s="14"/>
      <c r="F32" s="10">
        <v>7.0</v>
      </c>
      <c r="G32" s="10">
        <v>4.0</v>
      </c>
      <c r="H32" s="10">
        <v>4.0</v>
      </c>
      <c r="I32" s="10">
        <v>7.0</v>
      </c>
      <c r="J32" s="10">
        <v>3.0</v>
      </c>
      <c r="K32" s="10">
        <v>3.0</v>
      </c>
      <c r="L32" s="13">
        <f t="shared" si="1"/>
        <v>28</v>
      </c>
    </row>
    <row r="33" ht="19.5" customHeight="1">
      <c r="A33" s="15"/>
      <c r="B33" s="10" t="s">
        <v>105</v>
      </c>
      <c r="C33" s="10" t="s">
        <v>106</v>
      </c>
      <c r="D33" s="15"/>
      <c r="E33" s="15"/>
      <c r="F33" s="10">
        <v>7.0</v>
      </c>
      <c r="G33" s="10">
        <v>4.0</v>
      </c>
      <c r="H33" s="10">
        <v>4.0</v>
      </c>
      <c r="I33" s="10">
        <v>7.0</v>
      </c>
      <c r="J33" s="10">
        <v>3.0</v>
      </c>
      <c r="K33" s="10">
        <v>3.0</v>
      </c>
      <c r="L33" s="13">
        <f t="shared" si="1"/>
        <v>28</v>
      </c>
    </row>
    <row r="34" ht="19.5" customHeight="1">
      <c r="A34" s="9" t="s">
        <v>107</v>
      </c>
      <c r="B34" s="10" t="s">
        <v>108</v>
      </c>
      <c r="C34" s="10" t="s">
        <v>109</v>
      </c>
      <c r="D34" s="11" t="s">
        <v>78</v>
      </c>
      <c r="E34" s="12" t="s">
        <v>110</v>
      </c>
      <c r="F34" s="10">
        <v>7.0</v>
      </c>
      <c r="G34" s="10">
        <v>4.0</v>
      </c>
      <c r="H34" s="10">
        <v>4.0</v>
      </c>
      <c r="I34" s="10">
        <v>7.0</v>
      </c>
      <c r="J34" s="10">
        <v>3.0</v>
      </c>
      <c r="K34" s="10">
        <v>4.0</v>
      </c>
      <c r="L34" s="13">
        <f t="shared" si="1"/>
        <v>29</v>
      </c>
    </row>
    <row r="35" ht="19.5" customHeight="1">
      <c r="A35" s="14"/>
      <c r="B35" s="10" t="s">
        <v>111</v>
      </c>
      <c r="C35" s="10" t="s">
        <v>112</v>
      </c>
      <c r="D35" s="14"/>
      <c r="E35" s="14"/>
      <c r="F35" s="10">
        <v>7.0</v>
      </c>
      <c r="G35" s="10">
        <v>4.0</v>
      </c>
      <c r="H35" s="10">
        <v>4.0</v>
      </c>
      <c r="I35" s="10">
        <v>7.0</v>
      </c>
      <c r="J35" s="10">
        <v>3.0</v>
      </c>
      <c r="K35" s="10">
        <v>3.0</v>
      </c>
      <c r="L35" s="13">
        <f t="shared" si="1"/>
        <v>28</v>
      </c>
    </row>
    <row r="36" ht="19.5" customHeight="1">
      <c r="A36" s="14"/>
      <c r="B36" s="10" t="s">
        <v>113</v>
      </c>
      <c r="C36" s="10" t="s">
        <v>114</v>
      </c>
      <c r="D36" s="14"/>
      <c r="E36" s="14"/>
      <c r="F36" s="10">
        <v>7.0</v>
      </c>
      <c r="G36" s="10">
        <v>4.0</v>
      </c>
      <c r="H36" s="10">
        <v>4.0</v>
      </c>
      <c r="I36" s="10">
        <v>7.0</v>
      </c>
      <c r="J36" s="10">
        <v>3.0</v>
      </c>
      <c r="K36" s="10">
        <v>3.0</v>
      </c>
      <c r="L36" s="13">
        <f t="shared" si="1"/>
        <v>28</v>
      </c>
    </row>
    <row r="37" ht="19.5" customHeight="1">
      <c r="A37" s="15"/>
      <c r="B37" s="10" t="s">
        <v>115</v>
      </c>
      <c r="C37" s="10" t="s">
        <v>116</v>
      </c>
      <c r="D37" s="15"/>
      <c r="E37" s="15"/>
      <c r="F37" s="10">
        <v>7.0</v>
      </c>
      <c r="G37" s="10">
        <v>4.0</v>
      </c>
      <c r="H37" s="10">
        <v>4.0</v>
      </c>
      <c r="I37" s="10">
        <v>7.0</v>
      </c>
      <c r="J37" s="10">
        <v>3.0</v>
      </c>
      <c r="K37" s="10">
        <v>3.0</v>
      </c>
      <c r="L37" s="13">
        <f t="shared" si="1"/>
        <v>28</v>
      </c>
    </row>
    <row r="38" ht="19.5" customHeight="1">
      <c r="A38" s="9" t="s">
        <v>117</v>
      </c>
      <c r="B38" s="10" t="s">
        <v>118</v>
      </c>
      <c r="C38" s="10" t="s">
        <v>119</v>
      </c>
      <c r="D38" s="11" t="s">
        <v>44</v>
      </c>
      <c r="E38" s="12" t="s">
        <v>120</v>
      </c>
      <c r="F38" s="10">
        <v>7.0</v>
      </c>
      <c r="G38" s="10">
        <v>3.0</v>
      </c>
      <c r="H38" s="10">
        <v>3.0</v>
      </c>
      <c r="I38" s="10">
        <v>7.0</v>
      </c>
      <c r="J38" s="10">
        <v>4.0</v>
      </c>
      <c r="K38" s="10">
        <v>4.0</v>
      </c>
      <c r="L38" s="13">
        <f t="shared" si="1"/>
        <v>28</v>
      </c>
    </row>
    <row r="39" ht="19.5" customHeight="1">
      <c r="A39" s="14"/>
      <c r="B39" s="10" t="s">
        <v>121</v>
      </c>
      <c r="C39" s="10" t="s">
        <v>122</v>
      </c>
      <c r="D39" s="14"/>
      <c r="E39" s="14"/>
      <c r="F39" s="10">
        <v>7.0</v>
      </c>
      <c r="G39" s="10">
        <v>3.0</v>
      </c>
      <c r="H39" s="10">
        <v>3.0</v>
      </c>
      <c r="I39" s="10">
        <v>7.0</v>
      </c>
      <c r="J39" s="10">
        <v>4.0</v>
      </c>
      <c r="K39" s="10">
        <v>4.0</v>
      </c>
      <c r="L39" s="13">
        <f t="shared" si="1"/>
        <v>28</v>
      </c>
    </row>
    <row r="40" ht="19.5" customHeight="1">
      <c r="A40" s="14"/>
      <c r="B40" s="10" t="s">
        <v>123</v>
      </c>
      <c r="C40" s="10" t="s">
        <v>124</v>
      </c>
      <c r="D40" s="14"/>
      <c r="E40" s="14"/>
      <c r="F40" s="10">
        <v>7.0</v>
      </c>
      <c r="G40" s="10">
        <v>3.0</v>
      </c>
      <c r="H40" s="10">
        <v>3.0</v>
      </c>
      <c r="I40" s="10">
        <v>7.0</v>
      </c>
      <c r="J40" s="10">
        <v>4.0</v>
      </c>
      <c r="K40" s="10">
        <v>4.0</v>
      </c>
      <c r="L40" s="13">
        <f t="shared" si="1"/>
        <v>28</v>
      </c>
    </row>
    <row r="41" ht="19.5" customHeight="1">
      <c r="A41" s="15"/>
      <c r="B41" s="10" t="s">
        <v>125</v>
      </c>
      <c r="C41" s="10" t="s">
        <v>126</v>
      </c>
      <c r="D41" s="15"/>
      <c r="E41" s="15"/>
      <c r="F41" s="10">
        <v>7.0</v>
      </c>
      <c r="G41" s="10">
        <v>3.0</v>
      </c>
      <c r="H41" s="10">
        <v>3.0</v>
      </c>
      <c r="I41" s="10">
        <v>7.0</v>
      </c>
      <c r="J41" s="10">
        <v>4.0</v>
      </c>
      <c r="K41" s="10">
        <v>2.0</v>
      </c>
      <c r="L41" s="13">
        <f t="shared" si="1"/>
        <v>26</v>
      </c>
    </row>
    <row r="42" ht="19.5" customHeight="1">
      <c r="A42" s="9" t="s">
        <v>127</v>
      </c>
      <c r="B42" s="10" t="s">
        <v>128</v>
      </c>
      <c r="C42" s="10" t="s">
        <v>129</v>
      </c>
      <c r="D42" s="11" t="s">
        <v>130</v>
      </c>
      <c r="E42" s="12" t="s">
        <v>131</v>
      </c>
      <c r="F42" s="10">
        <v>9.0</v>
      </c>
      <c r="G42" s="10">
        <v>4.0</v>
      </c>
      <c r="H42" s="10">
        <v>4.0</v>
      </c>
      <c r="I42" s="10">
        <v>9.0</v>
      </c>
      <c r="J42" s="10">
        <v>4.0</v>
      </c>
      <c r="K42" s="10">
        <v>4.0</v>
      </c>
      <c r="L42" s="13">
        <f t="shared" si="1"/>
        <v>34</v>
      </c>
    </row>
    <row r="43" ht="19.5" customHeight="1">
      <c r="A43" s="14"/>
      <c r="B43" s="10" t="s">
        <v>132</v>
      </c>
      <c r="C43" s="10" t="s">
        <v>133</v>
      </c>
      <c r="D43" s="14"/>
      <c r="E43" s="14"/>
      <c r="F43" s="10">
        <v>9.0</v>
      </c>
      <c r="G43" s="10">
        <v>4.0</v>
      </c>
      <c r="H43" s="10">
        <v>4.0</v>
      </c>
      <c r="I43" s="10">
        <v>9.0</v>
      </c>
      <c r="J43" s="10">
        <v>4.0</v>
      </c>
      <c r="K43" s="10">
        <v>2.0</v>
      </c>
      <c r="L43" s="13">
        <f t="shared" si="1"/>
        <v>32</v>
      </c>
    </row>
    <row r="44" ht="19.5" customHeight="1">
      <c r="A44" s="14"/>
      <c r="B44" s="10" t="s">
        <v>134</v>
      </c>
      <c r="C44" s="10" t="s">
        <v>135</v>
      </c>
      <c r="D44" s="14"/>
      <c r="E44" s="14"/>
      <c r="F44" s="10">
        <v>9.0</v>
      </c>
      <c r="G44" s="10">
        <v>4.0</v>
      </c>
      <c r="H44" s="10">
        <v>4.0</v>
      </c>
      <c r="I44" s="10">
        <v>9.0</v>
      </c>
      <c r="J44" s="10">
        <v>4.0</v>
      </c>
      <c r="K44" s="10">
        <v>2.0</v>
      </c>
      <c r="L44" s="13">
        <f t="shared" si="1"/>
        <v>32</v>
      </c>
    </row>
    <row r="45" ht="19.5" customHeight="1">
      <c r="A45" s="15"/>
      <c r="B45" s="10" t="s">
        <v>136</v>
      </c>
      <c r="C45" s="10" t="s">
        <v>137</v>
      </c>
      <c r="D45" s="15"/>
      <c r="E45" s="15"/>
      <c r="F45" s="10">
        <v>9.0</v>
      </c>
      <c r="G45" s="10">
        <v>4.0</v>
      </c>
      <c r="H45" s="10">
        <v>4.0</v>
      </c>
      <c r="I45" s="10">
        <v>9.0</v>
      </c>
      <c r="J45" s="10">
        <v>4.0</v>
      </c>
      <c r="K45" s="10">
        <v>2.0</v>
      </c>
      <c r="L45" s="13">
        <f t="shared" si="1"/>
        <v>32</v>
      </c>
    </row>
    <row r="46" ht="19.5" customHeight="1">
      <c r="A46" s="9" t="s">
        <v>138</v>
      </c>
      <c r="B46" s="10" t="s">
        <v>139</v>
      </c>
      <c r="C46" s="10" t="s">
        <v>140</v>
      </c>
      <c r="D46" s="11" t="s">
        <v>67</v>
      </c>
      <c r="E46" s="12" t="s">
        <v>141</v>
      </c>
      <c r="F46" s="10">
        <v>9.0</v>
      </c>
      <c r="G46" s="10">
        <v>4.0</v>
      </c>
      <c r="H46" s="10">
        <v>4.0</v>
      </c>
      <c r="I46" s="10">
        <v>9.0</v>
      </c>
      <c r="J46" s="10">
        <v>4.0</v>
      </c>
      <c r="K46" s="10">
        <v>4.0</v>
      </c>
      <c r="L46" s="13">
        <f t="shared" si="1"/>
        <v>34</v>
      </c>
    </row>
    <row r="47" ht="19.5" customHeight="1">
      <c r="A47" s="14"/>
      <c r="B47" s="10" t="s">
        <v>142</v>
      </c>
      <c r="C47" s="10" t="s">
        <v>143</v>
      </c>
      <c r="D47" s="14"/>
      <c r="E47" s="14"/>
      <c r="F47" s="10">
        <v>9.0</v>
      </c>
      <c r="G47" s="10">
        <v>4.0</v>
      </c>
      <c r="H47" s="10">
        <v>4.0</v>
      </c>
      <c r="I47" s="10">
        <v>9.0</v>
      </c>
      <c r="J47" s="10">
        <v>4.0</v>
      </c>
      <c r="K47" s="10">
        <v>4.0</v>
      </c>
      <c r="L47" s="13">
        <f t="shared" si="1"/>
        <v>34</v>
      </c>
    </row>
    <row r="48" ht="19.5" customHeight="1">
      <c r="A48" s="14"/>
      <c r="B48" s="10" t="s">
        <v>144</v>
      </c>
      <c r="C48" s="10" t="s">
        <v>145</v>
      </c>
      <c r="D48" s="14"/>
      <c r="E48" s="14"/>
      <c r="F48" s="10">
        <v>9.0</v>
      </c>
      <c r="G48" s="10">
        <v>4.0</v>
      </c>
      <c r="H48" s="10">
        <v>4.0</v>
      </c>
      <c r="I48" s="10">
        <v>9.0</v>
      </c>
      <c r="J48" s="10">
        <v>4.0</v>
      </c>
      <c r="K48" s="10">
        <v>4.0</v>
      </c>
      <c r="L48" s="13">
        <f t="shared" si="1"/>
        <v>34</v>
      </c>
    </row>
    <row r="49" ht="19.5" customHeight="1">
      <c r="A49" s="15"/>
      <c r="B49" s="10" t="s">
        <v>146</v>
      </c>
      <c r="C49" s="10" t="s">
        <v>147</v>
      </c>
      <c r="D49" s="15"/>
      <c r="E49" s="15"/>
      <c r="F49" s="10">
        <v>9.0</v>
      </c>
      <c r="G49" s="10">
        <v>4.0</v>
      </c>
      <c r="H49" s="10">
        <v>4.0</v>
      </c>
      <c r="I49" s="10">
        <v>9.0</v>
      </c>
      <c r="J49" s="10">
        <v>4.0</v>
      </c>
      <c r="K49" s="10">
        <v>4.0</v>
      </c>
      <c r="L49" s="13">
        <f t="shared" si="1"/>
        <v>34</v>
      </c>
    </row>
    <row r="50" ht="19.5" customHeight="1">
      <c r="A50" s="9" t="s">
        <v>148</v>
      </c>
      <c r="B50" s="10" t="s">
        <v>149</v>
      </c>
      <c r="C50" s="10" t="s">
        <v>150</v>
      </c>
      <c r="D50" s="11" t="s">
        <v>151</v>
      </c>
      <c r="E50" s="12" t="s">
        <v>152</v>
      </c>
      <c r="F50" s="10">
        <v>8.0</v>
      </c>
      <c r="G50" s="10">
        <v>4.0</v>
      </c>
      <c r="H50" s="10">
        <v>4.0</v>
      </c>
      <c r="I50" s="10">
        <v>8.0</v>
      </c>
      <c r="J50" s="10">
        <v>4.0</v>
      </c>
      <c r="K50" s="10">
        <v>3.0</v>
      </c>
      <c r="L50" s="13">
        <f t="shared" si="1"/>
        <v>31</v>
      </c>
    </row>
    <row r="51" ht="19.5" customHeight="1">
      <c r="A51" s="14"/>
      <c r="B51" s="10" t="s">
        <v>153</v>
      </c>
      <c r="C51" s="10" t="s">
        <v>154</v>
      </c>
      <c r="D51" s="14"/>
      <c r="E51" s="14"/>
      <c r="F51" s="10">
        <v>8.0</v>
      </c>
      <c r="G51" s="10">
        <v>4.0</v>
      </c>
      <c r="H51" s="10">
        <v>4.0</v>
      </c>
      <c r="I51" s="10">
        <v>8.0</v>
      </c>
      <c r="J51" s="10">
        <v>4.0</v>
      </c>
      <c r="K51" s="10">
        <v>3.0</v>
      </c>
      <c r="L51" s="13">
        <f t="shared" si="1"/>
        <v>31</v>
      </c>
    </row>
    <row r="52" ht="19.5" customHeight="1">
      <c r="A52" s="14"/>
      <c r="B52" s="10" t="s">
        <v>155</v>
      </c>
      <c r="C52" s="10" t="s">
        <v>156</v>
      </c>
      <c r="D52" s="14"/>
      <c r="E52" s="14"/>
      <c r="F52" s="10">
        <v>8.0</v>
      </c>
      <c r="G52" s="10">
        <v>4.0</v>
      </c>
      <c r="H52" s="10">
        <v>4.0</v>
      </c>
      <c r="I52" s="10">
        <v>8.0</v>
      </c>
      <c r="J52" s="10">
        <v>4.0</v>
      </c>
      <c r="K52" s="10">
        <v>3.0</v>
      </c>
      <c r="L52" s="13">
        <f t="shared" si="1"/>
        <v>31</v>
      </c>
    </row>
    <row r="53" ht="19.5" customHeight="1">
      <c r="A53" s="15"/>
      <c r="B53" s="10" t="s">
        <v>157</v>
      </c>
      <c r="C53" s="10" t="s">
        <v>158</v>
      </c>
      <c r="D53" s="15"/>
      <c r="E53" s="15"/>
      <c r="F53" s="10">
        <v>8.0</v>
      </c>
      <c r="G53" s="10">
        <v>4.0</v>
      </c>
      <c r="H53" s="10">
        <v>4.0</v>
      </c>
      <c r="I53" s="10">
        <v>8.0</v>
      </c>
      <c r="J53" s="10">
        <v>4.0</v>
      </c>
      <c r="K53" s="10">
        <v>3.0</v>
      </c>
      <c r="L53" s="13">
        <f t="shared" si="1"/>
        <v>31</v>
      </c>
    </row>
    <row r="54" ht="19.5" customHeight="1">
      <c r="A54" s="9" t="s">
        <v>159</v>
      </c>
      <c r="B54" s="10" t="s">
        <v>160</v>
      </c>
      <c r="C54" s="10" t="s">
        <v>161</v>
      </c>
      <c r="D54" s="11" t="s">
        <v>162</v>
      </c>
      <c r="E54" s="12" t="s">
        <v>163</v>
      </c>
      <c r="F54" s="10">
        <v>7.0</v>
      </c>
      <c r="G54" s="10">
        <v>3.0</v>
      </c>
      <c r="H54" s="10">
        <v>4.0</v>
      </c>
      <c r="I54" s="10">
        <v>7.0</v>
      </c>
      <c r="J54" s="10">
        <v>4.0</v>
      </c>
      <c r="K54" s="10">
        <v>3.0</v>
      </c>
      <c r="L54" s="13">
        <f t="shared" si="1"/>
        <v>28</v>
      </c>
    </row>
    <row r="55" ht="19.5" customHeight="1">
      <c r="A55" s="14"/>
      <c r="B55" s="10" t="s">
        <v>164</v>
      </c>
      <c r="C55" s="10" t="s">
        <v>165</v>
      </c>
      <c r="D55" s="14"/>
      <c r="E55" s="14"/>
      <c r="F55" s="10">
        <v>7.0</v>
      </c>
      <c r="G55" s="10">
        <v>3.0</v>
      </c>
      <c r="H55" s="10">
        <v>4.0</v>
      </c>
      <c r="I55" s="10">
        <v>7.0</v>
      </c>
      <c r="J55" s="10">
        <v>4.0</v>
      </c>
      <c r="K55" s="10">
        <v>2.0</v>
      </c>
      <c r="L55" s="13">
        <f t="shared" si="1"/>
        <v>27</v>
      </c>
    </row>
    <row r="56" ht="19.5" customHeight="1">
      <c r="A56" s="14"/>
      <c r="B56" s="10" t="s">
        <v>166</v>
      </c>
      <c r="C56" s="10" t="s">
        <v>167</v>
      </c>
      <c r="D56" s="14"/>
      <c r="E56" s="14"/>
      <c r="F56" s="10">
        <v>7.0</v>
      </c>
      <c r="G56" s="10">
        <v>3.0</v>
      </c>
      <c r="H56" s="10">
        <v>4.0</v>
      </c>
      <c r="I56" s="10">
        <v>7.0</v>
      </c>
      <c r="J56" s="10">
        <v>4.0</v>
      </c>
      <c r="K56" s="10">
        <v>2.0</v>
      </c>
      <c r="L56" s="13">
        <f t="shared" si="1"/>
        <v>27</v>
      </c>
    </row>
    <row r="57" ht="19.5" customHeight="1">
      <c r="A57" s="15"/>
      <c r="B57" s="10" t="s">
        <v>168</v>
      </c>
      <c r="C57" s="10" t="s">
        <v>169</v>
      </c>
      <c r="D57" s="15"/>
      <c r="E57" s="15"/>
      <c r="F57" s="10">
        <v>7.0</v>
      </c>
      <c r="G57" s="10">
        <v>3.0</v>
      </c>
      <c r="H57" s="10">
        <v>4.0</v>
      </c>
      <c r="I57" s="10">
        <v>7.0</v>
      </c>
      <c r="J57" s="10">
        <v>4.0</v>
      </c>
      <c r="K57" s="10">
        <v>2.0</v>
      </c>
      <c r="L57" s="13">
        <f t="shared" si="1"/>
        <v>27</v>
      </c>
    </row>
    <row r="58" ht="19.5" customHeight="1">
      <c r="A58" s="9" t="s">
        <v>170</v>
      </c>
      <c r="B58" s="10" t="s">
        <v>171</v>
      </c>
      <c r="C58" s="10" t="s">
        <v>172</v>
      </c>
      <c r="D58" s="11" t="s">
        <v>173</v>
      </c>
      <c r="E58" s="12" t="s">
        <v>174</v>
      </c>
      <c r="F58" s="10">
        <v>9.0</v>
      </c>
      <c r="G58" s="10">
        <v>4.0</v>
      </c>
      <c r="H58" s="10">
        <v>4.0</v>
      </c>
      <c r="I58" s="10">
        <v>10.0</v>
      </c>
      <c r="J58" s="10">
        <v>4.0</v>
      </c>
      <c r="K58" s="10">
        <v>4.0</v>
      </c>
      <c r="L58" s="13">
        <f t="shared" si="1"/>
        <v>35</v>
      </c>
    </row>
    <row r="59" ht="19.5" customHeight="1">
      <c r="A59" s="14"/>
      <c r="B59" s="10" t="s">
        <v>175</v>
      </c>
      <c r="C59" s="10" t="s">
        <v>176</v>
      </c>
      <c r="D59" s="14"/>
      <c r="E59" s="14"/>
      <c r="F59" s="10">
        <v>9.0</v>
      </c>
      <c r="G59" s="10">
        <v>4.0</v>
      </c>
      <c r="H59" s="10">
        <v>4.0</v>
      </c>
      <c r="I59" s="10">
        <v>10.0</v>
      </c>
      <c r="J59" s="10">
        <v>4.0</v>
      </c>
      <c r="K59" s="10">
        <v>4.0</v>
      </c>
      <c r="L59" s="13">
        <f t="shared" si="1"/>
        <v>35</v>
      </c>
    </row>
    <row r="60" ht="19.5" customHeight="1">
      <c r="A60" s="14"/>
      <c r="B60" s="10" t="s">
        <v>177</v>
      </c>
      <c r="C60" s="10" t="s">
        <v>178</v>
      </c>
      <c r="D60" s="15"/>
      <c r="E60" s="15"/>
      <c r="F60" s="10">
        <v>9.0</v>
      </c>
      <c r="G60" s="10">
        <v>4.0</v>
      </c>
      <c r="H60" s="10">
        <v>4.0</v>
      </c>
      <c r="I60" s="10">
        <v>10.0</v>
      </c>
      <c r="J60" s="10">
        <v>4.0</v>
      </c>
      <c r="K60" s="10">
        <v>4.0</v>
      </c>
      <c r="L60" s="13">
        <f t="shared" si="1"/>
        <v>35</v>
      </c>
    </row>
    <row r="61">
      <c r="A61" s="15"/>
      <c r="B61" s="10" t="s">
        <v>189</v>
      </c>
      <c r="C61" s="10" t="s">
        <v>190</v>
      </c>
      <c r="D61" s="20" t="s">
        <v>173</v>
      </c>
      <c r="E61" s="13"/>
      <c r="F61" s="10">
        <v>7.0</v>
      </c>
      <c r="G61" s="10">
        <v>2.0</v>
      </c>
      <c r="H61" s="10">
        <v>2.0</v>
      </c>
      <c r="I61" s="10">
        <v>7.0</v>
      </c>
      <c r="J61" s="10">
        <v>2.0</v>
      </c>
      <c r="K61" s="10">
        <v>2.0</v>
      </c>
      <c r="L61" s="13">
        <f t="shared" si="1"/>
        <v>22</v>
      </c>
    </row>
  </sheetData>
  <mergeCells count="44">
    <mergeCell ref="A3:L3"/>
    <mergeCell ref="A4:L4"/>
    <mergeCell ref="A6:A9"/>
    <mergeCell ref="D6:D9"/>
    <mergeCell ref="E6:E9"/>
    <mergeCell ref="D10:D13"/>
    <mergeCell ref="E10:E13"/>
    <mergeCell ref="A10:A13"/>
    <mergeCell ref="A14:A17"/>
    <mergeCell ref="D14:D17"/>
    <mergeCell ref="E14:E17"/>
    <mergeCell ref="A18:A21"/>
    <mergeCell ref="E18:E21"/>
    <mergeCell ref="E22:E25"/>
    <mergeCell ref="D34:D37"/>
    <mergeCell ref="D38:D41"/>
    <mergeCell ref="D42:D45"/>
    <mergeCell ref="D46:D49"/>
    <mergeCell ref="D50:D53"/>
    <mergeCell ref="D54:D57"/>
    <mergeCell ref="D58:D60"/>
    <mergeCell ref="E38:E41"/>
    <mergeCell ref="E42:E45"/>
    <mergeCell ref="E46:E49"/>
    <mergeCell ref="E50:E53"/>
    <mergeCell ref="E54:E57"/>
    <mergeCell ref="E58:E60"/>
    <mergeCell ref="D18:D21"/>
    <mergeCell ref="D22:D25"/>
    <mergeCell ref="D26:D29"/>
    <mergeCell ref="E26:E29"/>
    <mergeCell ref="D30:D33"/>
    <mergeCell ref="E30:E33"/>
    <mergeCell ref="E34:E37"/>
    <mergeCell ref="A50:A53"/>
    <mergeCell ref="A54:A57"/>
    <mergeCell ref="A58:A61"/>
    <mergeCell ref="A22:A25"/>
    <mergeCell ref="A26:A29"/>
    <mergeCell ref="A30:A33"/>
    <mergeCell ref="A34:A37"/>
    <mergeCell ref="A38:A41"/>
    <mergeCell ref="A42:A45"/>
    <mergeCell ref="A46:A49"/>
  </mergeCells>
  <printOptions gridLines="1" horizontalCentered="1"/>
  <pageMargins bottom="0.75" footer="0.0" header="0.0" left="0.7" right="0.7" top="0.75"/>
  <pageSetup cellComments="atEnd" orientation="landscape" pageOrder="overThenDown"/>
  <rowBreaks count="1" manualBreakCount="1">
    <brk id="37" man="1"/>
  </rowBreaks>
  <colBreaks count="2" manualBreakCount="2">
    <brk man="1"/>
    <brk id="12" man="1"/>
  </colBreaks>
  <drawing r:id="rId1"/>
</worksheet>
</file>